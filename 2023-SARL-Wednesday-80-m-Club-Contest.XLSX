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Amateur Radio\2023 Blue Book\"/>
    </mc:Choice>
  </mc:AlternateContent>
  <xr:revisionPtr revIDLastSave="0" documentId="13_ncr:1_{07EFBF20-1259-4E34-BF2F-B9302B3BFC87}" xr6:coauthVersionLast="47" xr6:coauthVersionMax="47" xr10:uidLastSave="{00000000-0000-0000-0000-000000000000}"/>
  <bookViews>
    <workbookView xWindow="-120" yWindow="-120" windowWidth="29040" windowHeight="17640" activeTab="5" xr2:uid="{00000000-000D-0000-FFFF-FFFF00000000}"/>
  </bookViews>
  <sheets>
    <sheet name="Information" sheetId="2" r:id="rId1"/>
    <sheet name="Club Abbreviations" sheetId="13" r:id="rId2"/>
    <sheet name="February 2023" sheetId="12" r:id="rId3"/>
    <sheet name="May 2023" sheetId="8" r:id="rId4"/>
    <sheet name="August 2023" sheetId="9" r:id="rId5"/>
    <sheet name="October 2023" sheetId="10" r:id="rId6"/>
  </sheets>
  <definedNames>
    <definedName name="Clubnames" localSheetId="1">'Club Abbreviations'!$A$1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2" i="2" l="1"/>
  <c r="V105" i="10"/>
  <c r="U105" i="10"/>
  <c r="T105" i="10"/>
  <c r="V104" i="10"/>
  <c r="U104" i="10"/>
  <c r="T104" i="10"/>
  <c r="V103" i="10"/>
  <c r="U103" i="10"/>
  <c r="T103" i="10"/>
  <c r="V102" i="10"/>
  <c r="U102" i="10"/>
  <c r="T102" i="10"/>
  <c r="V101" i="10"/>
  <c r="U101" i="10"/>
  <c r="T101" i="10"/>
  <c r="V100" i="10"/>
  <c r="U100" i="10"/>
  <c r="T100" i="10"/>
  <c r="V99" i="10"/>
  <c r="U99" i="10"/>
  <c r="T99" i="10"/>
  <c r="V98" i="10"/>
  <c r="U98" i="10"/>
  <c r="T98" i="10"/>
  <c r="V97" i="10"/>
  <c r="U97" i="10"/>
  <c r="T97" i="10"/>
  <c r="V96" i="10"/>
  <c r="U96" i="10"/>
  <c r="T96" i="10"/>
  <c r="V95" i="10"/>
  <c r="U95" i="10"/>
  <c r="T95" i="10"/>
  <c r="V94" i="10"/>
  <c r="U94" i="10"/>
  <c r="T94" i="10"/>
  <c r="V93" i="10"/>
  <c r="U93" i="10"/>
  <c r="T93" i="10"/>
  <c r="V92" i="10"/>
  <c r="U92" i="10"/>
  <c r="T92" i="10"/>
  <c r="V91" i="10"/>
  <c r="U91" i="10"/>
  <c r="T91" i="10"/>
  <c r="V90" i="10"/>
  <c r="U90" i="10"/>
  <c r="T90" i="10"/>
  <c r="V89" i="10"/>
  <c r="U89" i="10"/>
  <c r="T89" i="10"/>
  <c r="V88" i="10"/>
  <c r="U88" i="10"/>
  <c r="T88" i="10"/>
  <c r="V87" i="10"/>
  <c r="U87" i="10"/>
  <c r="T87" i="10"/>
  <c r="V86" i="10"/>
  <c r="U86" i="10"/>
  <c r="T86" i="10"/>
  <c r="V85" i="10"/>
  <c r="U85" i="10"/>
  <c r="T85" i="10"/>
  <c r="V84" i="10"/>
  <c r="U84" i="10"/>
  <c r="T84" i="10"/>
  <c r="V83" i="10"/>
  <c r="U83" i="10"/>
  <c r="T83" i="10"/>
  <c r="V82" i="10"/>
  <c r="U82" i="10"/>
  <c r="T82" i="10"/>
  <c r="V81" i="10"/>
  <c r="U81" i="10"/>
  <c r="T81" i="10"/>
  <c r="V80" i="10"/>
  <c r="U80" i="10"/>
  <c r="T80" i="10"/>
  <c r="V79" i="10"/>
  <c r="U79" i="10"/>
  <c r="T79" i="10"/>
  <c r="V78" i="10"/>
  <c r="U78" i="10"/>
  <c r="T78" i="10"/>
  <c r="V77" i="10"/>
  <c r="U77" i="10"/>
  <c r="T77" i="10"/>
  <c r="V76" i="10"/>
  <c r="U76" i="10"/>
  <c r="T76" i="10"/>
  <c r="V75" i="10"/>
  <c r="U75" i="10"/>
  <c r="T75" i="10"/>
  <c r="V74" i="10"/>
  <c r="U74" i="10"/>
  <c r="T74" i="10"/>
  <c r="V73" i="10"/>
  <c r="U73" i="10"/>
  <c r="T73" i="10"/>
  <c r="V72" i="10"/>
  <c r="U72" i="10"/>
  <c r="T72" i="10"/>
  <c r="V71" i="10"/>
  <c r="U71" i="10"/>
  <c r="T71" i="10"/>
  <c r="V70" i="10"/>
  <c r="U70" i="10"/>
  <c r="T70" i="10"/>
  <c r="V69" i="10"/>
  <c r="U69" i="10"/>
  <c r="T69" i="10"/>
  <c r="V68" i="10"/>
  <c r="U68" i="10"/>
  <c r="T68" i="10"/>
  <c r="V67" i="10"/>
  <c r="U67" i="10"/>
  <c r="T67" i="10"/>
  <c r="V66" i="10"/>
  <c r="U66" i="10"/>
  <c r="T66" i="10"/>
  <c r="V65" i="10"/>
  <c r="U65" i="10"/>
  <c r="T65" i="10"/>
  <c r="V64" i="10"/>
  <c r="U64" i="10"/>
  <c r="T64" i="10"/>
  <c r="V63" i="10"/>
  <c r="U63" i="10"/>
  <c r="T63" i="10"/>
  <c r="V62" i="10"/>
  <c r="U62" i="10"/>
  <c r="T62" i="10"/>
  <c r="V61" i="10"/>
  <c r="U61" i="10"/>
  <c r="T61" i="10"/>
  <c r="V60" i="10"/>
  <c r="U60" i="10"/>
  <c r="T60" i="10"/>
  <c r="V59" i="10"/>
  <c r="U59" i="10"/>
  <c r="T59" i="10"/>
  <c r="V58" i="10"/>
  <c r="U58" i="10"/>
  <c r="T58" i="10"/>
  <c r="V57" i="10"/>
  <c r="U57" i="10"/>
  <c r="T57" i="10"/>
  <c r="V56" i="10"/>
  <c r="U56" i="10"/>
  <c r="T56" i="10"/>
  <c r="V55" i="10"/>
  <c r="U55" i="10"/>
  <c r="T55" i="10"/>
  <c r="V54" i="10"/>
  <c r="U54" i="10"/>
  <c r="T54" i="10"/>
  <c r="V53" i="10"/>
  <c r="U53" i="10"/>
  <c r="T53" i="10"/>
  <c r="V52" i="10"/>
  <c r="U52" i="10"/>
  <c r="T52" i="10"/>
  <c r="V51" i="10"/>
  <c r="U51" i="10"/>
  <c r="T51" i="10"/>
  <c r="V50" i="10"/>
  <c r="U50" i="10"/>
  <c r="T50" i="10"/>
  <c r="V49" i="10"/>
  <c r="U49" i="10"/>
  <c r="T49" i="10"/>
  <c r="V48" i="10"/>
  <c r="U48" i="10"/>
  <c r="T48" i="10"/>
  <c r="V47" i="10"/>
  <c r="U47" i="10"/>
  <c r="T47" i="10"/>
  <c r="V46" i="10"/>
  <c r="U46" i="10"/>
  <c r="T46" i="10"/>
  <c r="V45" i="10"/>
  <c r="U45" i="10"/>
  <c r="T45" i="10"/>
  <c r="V44" i="10"/>
  <c r="U44" i="10"/>
  <c r="T44" i="10"/>
  <c r="V43" i="10"/>
  <c r="U43" i="10"/>
  <c r="T43" i="10"/>
  <c r="V42" i="10"/>
  <c r="U42" i="10"/>
  <c r="T42" i="10"/>
  <c r="V41" i="10"/>
  <c r="U41" i="10"/>
  <c r="T41" i="10"/>
  <c r="V40" i="10"/>
  <c r="U40" i="10"/>
  <c r="T40" i="10"/>
  <c r="V39" i="10"/>
  <c r="U39" i="10"/>
  <c r="T39" i="10"/>
  <c r="V38" i="10"/>
  <c r="U38" i="10"/>
  <c r="T38" i="10"/>
  <c r="V37" i="10"/>
  <c r="U37" i="10"/>
  <c r="T37" i="10"/>
  <c r="V36" i="10"/>
  <c r="U36" i="10"/>
  <c r="T36" i="10"/>
  <c r="V35" i="10"/>
  <c r="U35" i="10"/>
  <c r="T35" i="10"/>
  <c r="V34" i="10"/>
  <c r="U34" i="10"/>
  <c r="T34" i="10"/>
  <c r="V33" i="10"/>
  <c r="U33" i="10"/>
  <c r="T33" i="10"/>
  <c r="V32" i="10"/>
  <c r="U32" i="10"/>
  <c r="T32" i="10"/>
  <c r="V31" i="10"/>
  <c r="U31" i="10"/>
  <c r="T31" i="10"/>
  <c r="V30" i="10"/>
  <c r="U30" i="10"/>
  <c r="T30" i="10"/>
  <c r="V29" i="10"/>
  <c r="U29" i="10"/>
  <c r="T29" i="10"/>
  <c r="V28" i="10"/>
  <c r="U28" i="10"/>
  <c r="T28" i="10"/>
  <c r="V27" i="10"/>
  <c r="U27" i="10"/>
  <c r="T27" i="10"/>
  <c r="V26" i="10"/>
  <c r="U26" i="10"/>
  <c r="T26" i="10"/>
  <c r="V25" i="10"/>
  <c r="U25" i="10"/>
  <c r="T25" i="10"/>
  <c r="V24" i="10"/>
  <c r="U24" i="10"/>
  <c r="T24" i="10"/>
  <c r="V23" i="10"/>
  <c r="U23" i="10"/>
  <c r="T23" i="10"/>
  <c r="V22" i="10"/>
  <c r="U22" i="10"/>
  <c r="T22" i="10"/>
  <c r="V21" i="10"/>
  <c r="U21" i="10"/>
  <c r="T21" i="10"/>
  <c r="V20" i="10"/>
  <c r="U20" i="10"/>
  <c r="T20" i="10"/>
  <c r="V19" i="10"/>
  <c r="U19" i="10"/>
  <c r="T19" i="10"/>
  <c r="V18" i="10"/>
  <c r="U18" i="10"/>
  <c r="T18" i="10"/>
  <c r="V17" i="10"/>
  <c r="U17" i="10"/>
  <c r="T17" i="10"/>
  <c r="V16" i="10"/>
  <c r="U16" i="10"/>
  <c r="T16" i="10"/>
  <c r="V15" i="10"/>
  <c r="U15" i="10"/>
  <c r="T15" i="10"/>
  <c r="V14" i="10"/>
  <c r="U14" i="10"/>
  <c r="T14" i="10"/>
  <c r="V13" i="10"/>
  <c r="U13" i="10"/>
  <c r="T13" i="10"/>
  <c r="V12" i="10"/>
  <c r="U12" i="10"/>
  <c r="T12" i="10"/>
  <c r="V11" i="10"/>
  <c r="U11" i="10"/>
  <c r="T11" i="10"/>
  <c r="V10" i="10"/>
  <c r="U10" i="10"/>
  <c r="T10" i="10"/>
  <c r="V9" i="10"/>
  <c r="U9" i="10"/>
  <c r="T9" i="10"/>
  <c r="V8" i="10"/>
  <c r="U8" i="10"/>
  <c r="T8" i="10"/>
  <c r="V7" i="10"/>
  <c r="U7" i="10"/>
  <c r="T7" i="10"/>
  <c r="V6" i="10"/>
  <c r="U6" i="10"/>
  <c r="U2" i="10" s="1"/>
  <c r="R8" i="10" s="1"/>
  <c r="T6" i="10"/>
  <c r="V5" i="10"/>
  <c r="U5" i="10"/>
  <c r="T5" i="10"/>
  <c r="R5" i="10"/>
  <c r="V4" i="10"/>
  <c r="U4" i="10"/>
  <c r="T4" i="10"/>
  <c r="R4" i="10"/>
  <c r="V3" i="10"/>
  <c r="U3" i="10"/>
  <c r="T3" i="10"/>
  <c r="R3" i="10"/>
  <c r="V2" i="10"/>
  <c r="R9" i="10" s="1"/>
  <c r="T2" i="10"/>
  <c r="R7" i="10" s="1"/>
  <c r="R1" i="10"/>
  <c r="V105" i="9"/>
  <c r="U105" i="9"/>
  <c r="T105" i="9"/>
  <c r="V104" i="9"/>
  <c r="U104" i="9"/>
  <c r="T104" i="9"/>
  <c r="V103" i="9"/>
  <c r="U103" i="9"/>
  <c r="T103" i="9"/>
  <c r="V102" i="9"/>
  <c r="U102" i="9"/>
  <c r="T102" i="9"/>
  <c r="V101" i="9"/>
  <c r="U101" i="9"/>
  <c r="T101" i="9"/>
  <c r="V100" i="9"/>
  <c r="U100" i="9"/>
  <c r="T100" i="9"/>
  <c r="V99" i="9"/>
  <c r="U99" i="9"/>
  <c r="T99" i="9"/>
  <c r="V98" i="9"/>
  <c r="U98" i="9"/>
  <c r="T98" i="9"/>
  <c r="V97" i="9"/>
  <c r="U97" i="9"/>
  <c r="T97" i="9"/>
  <c r="V96" i="9"/>
  <c r="U96" i="9"/>
  <c r="T96" i="9"/>
  <c r="V95" i="9"/>
  <c r="U95" i="9"/>
  <c r="T95" i="9"/>
  <c r="V94" i="9"/>
  <c r="U94" i="9"/>
  <c r="T94" i="9"/>
  <c r="V93" i="9"/>
  <c r="U93" i="9"/>
  <c r="T93" i="9"/>
  <c r="V92" i="9"/>
  <c r="U92" i="9"/>
  <c r="T92" i="9"/>
  <c r="V91" i="9"/>
  <c r="U91" i="9"/>
  <c r="T91" i="9"/>
  <c r="V90" i="9"/>
  <c r="U90" i="9"/>
  <c r="T90" i="9"/>
  <c r="V89" i="9"/>
  <c r="U89" i="9"/>
  <c r="T89" i="9"/>
  <c r="V88" i="9"/>
  <c r="U88" i="9"/>
  <c r="T88" i="9"/>
  <c r="V87" i="9"/>
  <c r="U87" i="9"/>
  <c r="T87" i="9"/>
  <c r="V86" i="9"/>
  <c r="U86" i="9"/>
  <c r="T86" i="9"/>
  <c r="V85" i="9"/>
  <c r="U85" i="9"/>
  <c r="T85" i="9"/>
  <c r="V84" i="9"/>
  <c r="U84" i="9"/>
  <c r="T84" i="9"/>
  <c r="V83" i="9"/>
  <c r="U83" i="9"/>
  <c r="T83" i="9"/>
  <c r="V82" i="9"/>
  <c r="U82" i="9"/>
  <c r="T82" i="9"/>
  <c r="V81" i="9"/>
  <c r="U81" i="9"/>
  <c r="T81" i="9"/>
  <c r="V80" i="9"/>
  <c r="U80" i="9"/>
  <c r="T80" i="9"/>
  <c r="V79" i="9"/>
  <c r="U79" i="9"/>
  <c r="T79" i="9"/>
  <c r="V78" i="9"/>
  <c r="U78" i="9"/>
  <c r="T78" i="9"/>
  <c r="V77" i="9"/>
  <c r="U77" i="9"/>
  <c r="T77" i="9"/>
  <c r="V76" i="9"/>
  <c r="U76" i="9"/>
  <c r="T76" i="9"/>
  <c r="V75" i="9"/>
  <c r="U75" i="9"/>
  <c r="T75" i="9"/>
  <c r="V74" i="9"/>
  <c r="U74" i="9"/>
  <c r="T74" i="9"/>
  <c r="V73" i="9"/>
  <c r="U73" i="9"/>
  <c r="T73" i="9"/>
  <c r="V72" i="9"/>
  <c r="U72" i="9"/>
  <c r="T72" i="9"/>
  <c r="V71" i="9"/>
  <c r="U71" i="9"/>
  <c r="T71" i="9"/>
  <c r="V70" i="9"/>
  <c r="U70" i="9"/>
  <c r="T70" i="9"/>
  <c r="V69" i="9"/>
  <c r="U69" i="9"/>
  <c r="T69" i="9"/>
  <c r="V68" i="9"/>
  <c r="U68" i="9"/>
  <c r="T68" i="9"/>
  <c r="V67" i="9"/>
  <c r="U67" i="9"/>
  <c r="T67" i="9"/>
  <c r="V66" i="9"/>
  <c r="U66" i="9"/>
  <c r="T66" i="9"/>
  <c r="V65" i="9"/>
  <c r="U65" i="9"/>
  <c r="T65" i="9"/>
  <c r="V64" i="9"/>
  <c r="U64" i="9"/>
  <c r="T64" i="9"/>
  <c r="V63" i="9"/>
  <c r="U63" i="9"/>
  <c r="T63" i="9"/>
  <c r="V62" i="9"/>
  <c r="U62" i="9"/>
  <c r="T62" i="9"/>
  <c r="V61" i="9"/>
  <c r="U61" i="9"/>
  <c r="T61" i="9"/>
  <c r="V60" i="9"/>
  <c r="U60" i="9"/>
  <c r="T60" i="9"/>
  <c r="V59" i="9"/>
  <c r="U59" i="9"/>
  <c r="T59" i="9"/>
  <c r="V58" i="9"/>
  <c r="U58" i="9"/>
  <c r="T58" i="9"/>
  <c r="V57" i="9"/>
  <c r="U57" i="9"/>
  <c r="T57" i="9"/>
  <c r="V56" i="9"/>
  <c r="U56" i="9"/>
  <c r="T56" i="9"/>
  <c r="V55" i="9"/>
  <c r="U55" i="9"/>
  <c r="T55" i="9"/>
  <c r="V54" i="9"/>
  <c r="U54" i="9"/>
  <c r="T54" i="9"/>
  <c r="V53" i="9"/>
  <c r="U53" i="9"/>
  <c r="T53" i="9"/>
  <c r="V52" i="9"/>
  <c r="U52" i="9"/>
  <c r="T52" i="9"/>
  <c r="V51" i="9"/>
  <c r="U51" i="9"/>
  <c r="T51" i="9"/>
  <c r="V50" i="9"/>
  <c r="U50" i="9"/>
  <c r="T50" i="9"/>
  <c r="V49" i="9"/>
  <c r="U49" i="9"/>
  <c r="T49" i="9"/>
  <c r="V48" i="9"/>
  <c r="U48" i="9"/>
  <c r="T48" i="9"/>
  <c r="V47" i="9"/>
  <c r="U47" i="9"/>
  <c r="T47" i="9"/>
  <c r="V46" i="9"/>
  <c r="U46" i="9"/>
  <c r="T46" i="9"/>
  <c r="V45" i="9"/>
  <c r="U45" i="9"/>
  <c r="T45" i="9"/>
  <c r="V44" i="9"/>
  <c r="U44" i="9"/>
  <c r="T44" i="9"/>
  <c r="V43" i="9"/>
  <c r="U43" i="9"/>
  <c r="T43" i="9"/>
  <c r="V42" i="9"/>
  <c r="U42" i="9"/>
  <c r="T42" i="9"/>
  <c r="T2" i="9" s="1"/>
  <c r="R7" i="9" s="1"/>
  <c r="V41" i="9"/>
  <c r="U41" i="9"/>
  <c r="T41" i="9"/>
  <c r="V40" i="9"/>
  <c r="U40" i="9"/>
  <c r="T40" i="9"/>
  <c r="V39" i="9"/>
  <c r="U39" i="9"/>
  <c r="T39" i="9"/>
  <c r="V38" i="9"/>
  <c r="U38" i="9"/>
  <c r="T38" i="9"/>
  <c r="V37" i="9"/>
  <c r="U37" i="9"/>
  <c r="T37" i="9"/>
  <c r="V36" i="9"/>
  <c r="U36" i="9"/>
  <c r="T36" i="9"/>
  <c r="V35" i="9"/>
  <c r="U35" i="9"/>
  <c r="T35" i="9"/>
  <c r="V34" i="9"/>
  <c r="U34" i="9"/>
  <c r="T34" i="9"/>
  <c r="V33" i="9"/>
  <c r="U33" i="9"/>
  <c r="T33" i="9"/>
  <c r="V32" i="9"/>
  <c r="U32" i="9"/>
  <c r="T32" i="9"/>
  <c r="V31" i="9"/>
  <c r="U31" i="9"/>
  <c r="T31" i="9"/>
  <c r="V30" i="9"/>
  <c r="U30" i="9"/>
  <c r="T30" i="9"/>
  <c r="V29" i="9"/>
  <c r="U29" i="9"/>
  <c r="T29" i="9"/>
  <c r="V28" i="9"/>
  <c r="U28" i="9"/>
  <c r="T28" i="9"/>
  <c r="V27" i="9"/>
  <c r="U27" i="9"/>
  <c r="T27" i="9"/>
  <c r="V26" i="9"/>
  <c r="U26" i="9"/>
  <c r="T26" i="9"/>
  <c r="V25" i="9"/>
  <c r="U25" i="9"/>
  <c r="T25" i="9"/>
  <c r="V24" i="9"/>
  <c r="U24" i="9"/>
  <c r="T24" i="9"/>
  <c r="V23" i="9"/>
  <c r="U23" i="9"/>
  <c r="T23" i="9"/>
  <c r="V22" i="9"/>
  <c r="U22" i="9"/>
  <c r="T22" i="9"/>
  <c r="V21" i="9"/>
  <c r="U21" i="9"/>
  <c r="T21" i="9"/>
  <c r="V20" i="9"/>
  <c r="U20" i="9"/>
  <c r="T20" i="9"/>
  <c r="V19" i="9"/>
  <c r="U19" i="9"/>
  <c r="T19" i="9"/>
  <c r="V18" i="9"/>
  <c r="U18" i="9"/>
  <c r="T18" i="9"/>
  <c r="V17" i="9"/>
  <c r="U17" i="9"/>
  <c r="T17" i="9"/>
  <c r="V16" i="9"/>
  <c r="U16" i="9"/>
  <c r="T16" i="9"/>
  <c r="V15" i="9"/>
  <c r="U15" i="9"/>
  <c r="T15" i="9"/>
  <c r="V14" i="9"/>
  <c r="U14" i="9"/>
  <c r="T14" i="9"/>
  <c r="V13" i="9"/>
  <c r="U13" i="9"/>
  <c r="T13" i="9"/>
  <c r="V12" i="9"/>
  <c r="U12" i="9"/>
  <c r="T12" i="9"/>
  <c r="V11" i="9"/>
  <c r="U11" i="9"/>
  <c r="T11" i="9"/>
  <c r="V10" i="9"/>
  <c r="U10" i="9"/>
  <c r="T10" i="9"/>
  <c r="V9" i="9"/>
  <c r="U9" i="9"/>
  <c r="T9" i="9"/>
  <c r="V8" i="9"/>
  <c r="U8" i="9"/>
  <c r="T8" i="9"/>
  <c r="V7" i="9"/>
  <c r="U7" i="9"/>
  <c r="T7" i="9"/>
  <c r="V6" i="9"/>
  <c r="U6" i="9"/>
  <c r="U2" i="9" s="1"/>
  <c r="R8" i="9" s="1"/>
  <c r="T6" i="9"/>
  <c r="V5" i="9"/>
  <c r="U5" i="9"/>
  <c r="T5" i="9"/>
  <c r="R5" i="9"/>
  <c r="V4" i="9"/>
  <c r="U4" i="9"/>
  <c r="T4" i="9"/>
  <c r="R4" i="9"/>
  <c r="V3" i="9"/>
  <c r="U3" i="9"/>
  <c r="T3" i="9"/>
  <c r="R3" i="9"/>
  <c r="V2" i="9"/>
  <c r="R9" i="9" s="1"/>
  <c r="R1" i="9"/>
  <c r="V105" i="8"/>
  <c r="U105" i="8"/>
  <c r="T105" i="8"/>
  <c r="V104" i="8"/>
  <c r="U104" i="8"/>
  <c r="T104" i="8"/>
  <c r="V103" i="8"/>
  <c r="U103" i="8"/>
  <c r="T103" i="8"/>
  <c r="V102" i="8"/>
  <c r="U102" i="8"/>
  <c r="T102" i="8"/>
  <c r="V101" i="8"/>
  <c r="U101" i="8"/>
  <c r="T101" i="8"/>
  <c r="V100" i="8"/>
  <c r="U100" i="8"/>
  <c r="T100" i="8"/>
  <c r="V99" i="8"/>
  <c r="U99" i="8"/>
  <c r="T99" i="8"/>
  <c r="V98" i="8"/>
  <c r="U98" i="8"/>
  <c r="T98" i="8"/>
  <c r="V97" i="8"/>
  <c r="U97" i="8"/>
  <c r="T97" i="8"/>
  <c r="V96" i="8"/>
  <c r="U96" i="8"/>
  <c r="T96" i="8"/>
  <c r="V95" i="8"/>
  <c r="U95" i="8"/>
  <c r="T95" i="8"/>
  <c r="V94" i="8"/>
  <c r="U94" i="8"/>
  <c r="T94" i="8"/>
  <c r="V93" i="8"/>
  <c r="U93" i="8"/>
  <c r="T93" i="8"/>
  <c r="V92" i="8"/>
  <c r="U92" i="8"/>
  <c r="T92" i="8"/>
  <c r="V91" i="8"/>
  <c r="U91" i="8"/>
  <c r="T91" i="8"/>
  <c r="V90" i="8"/>
  <c r="U90" i="8"/>
  <c r="T90" i="8"/>
  <c r="V89" i="8"/>
  <c r="U89" i="8"/>
  <c r="T89" i="8"/>
  <c r="V88" i="8"/>
  <c r="U88" i="8"/>
  <c r="T88" i="8"/>
  <c r="V87" i="8"/>
  <c r="U87" i="8"/>
  <c r="T87" i="8"/>
  <c r="V86" i="8"/>
  <c r="U86" i="8"/>
  <c r="T86" i="8"/>
  <c r="V85" i="8"/>
  <c r="U85" i="8"/>
  <c r="T85" i="8"/>
  <c r="V84" i="8"/>
  <c r="U84" i="8"/>
  <c r="T84" i="8"/>
  <c r="V83" i="8"/>
  <c r="U83" i="8"/>
  <c r="T83" i="8"/>
  <c r="V82" i="8"/>
  <c r="U82" i="8"/>
  <c r="T82" i="8"/>
  <c r="V81" i="8"/>
  <c r="U81" i="8"/>
  <c r="T81" i="8"/>
  <c r="V80" i="8"/>
  <c r="U80" i="8"/>
  <c r="T80" i="8"/>
  <c r="V79" i="8"/>
  <c r="U79" i="8"/>
  <c r="T79" i="8"/>
  <c r="V78" i="8"/>
  <c r="U78" i="8"/>
  <c r="T78" i="8"/>
  <c r="V77" i="8"/>
  <c r="U77" i="8"/>
  <c r="T77" i="8"/>
  <c r="V76" i="8"/>
  <c r="U76" i="8"/>
  <c r="T76" i="8"/>
  <c r="V75" i="8"/>
  <c r="U75" i="8"/>
  <c r="T75" i="8"/>
  <c r="V74" i="8"/>
  <c r="U74" i="8"/>
  <c r="T74" i="8"/>
  <c r="V73" i="8"/>
  <c r="U73" i="8"/>
  <c r="T73" i="8"/>
  <c r="V72" i="8"/>
  <c r="U72" i="8"/>
  <c r="T72" i="8"/>
  <c r="V71" i="8"/>
  <c r="U71" i="8"/>
  <c r="T71" i="8"/>
  <c r="V70" i="8"/>
  <c r="U70" i="8"/>
  <c r="T70" i="8"/>
  <c r="V69" i="8"/>
  <c r="U69" i="8"/>
  <c r="T69" i="8"/>
  <c r="V68" i="8"/>
  <c r="U68" i="8"/>
  <c r="T68" i="8"/>
  <c r="V67" i="8"/>
  <c r="U67" i="8"/>
  <c r="T67" i="8"/>
  <c r="V66" i="8"/>
  <c r="U66" i="8"/>
  <c r="T66" i="8"/>
  <c r="V65" i="8"/>
  <c r="U65" i="8"/>
  <c r="T65" i="8"/>
  <c r="V64" i="8"/>
  <c r="U64" i="8"/>
  <c r="T64" i="8"/>
  <c r="V63" i="8"/>
  <c r="U63" i="8"/>
  <c r="T63" i="8"/>
  <c r="V62" i="8"/>
  <c r="U62" i="8"/>
  <c r="T62" i="8"/>
  <c r="V61" i="8"/>
  <c r="U61" i="8"/>
  <c r="T61" i="8"/>
  <c r="V60" i="8"/>
  <c r="U60" i="8"/>
  <c r="T60" i="8"/>
  <c r="V59" i="8"/>
  <c r="U59" i="8"/>
  <c r="T59" i="8"/>
  <c r="V58" i="8"/>
  <c r="U58" i="8"/>
  <c r="T58" i="8"/>
  <c r="V57" i="8"/>
  <c r="U57" i="8"/>
  <c r="T57" i="8"/>
  <c r="V56" i="8"/>
  <c r="U56" i="8"/>
  <c r="T56" i="8"/>
  <c r="V55" i="8"/>
  <c r="U55" i="8"/>
  <c r="T55" i="8"/>
  <c r="V54" i="8"/>
  <c r="U54" i="8"/>
  <c r="T54" i="8"/>
  <c r="V53" i="8"/>
  <c r="U53" i="8"/>
  <c r="T53" i="8"/>
  <c r="V52" i="8"/>
  <c r="U52" i="8"/>
  <c r="T52" i="8"/>
  <c r="V51" i="8"/>
  <c r="U51" i="8"/>
  <c r="T51" i="8"/>
  <c r="V50" i="8"/>
  <c r="U50" i="8"/>
  <c r="T50" i="8"/>
  <c r="V49" i="8"/>
  <c r="U49" i="8"/>
  <c r="T49" i="8"/>
  <c r="V48" i="8"/>
  <c r="U48" i="8"/>
  <c r="T48" i="8"/>
  <c r="V47" i="8"/>
  <c r="U47" i="8"/>
  <c r="T47" i="8"/>
  <c r="V46" i="8"/>
  <c r="U46" i="8"/>
  <c r="T46" i="8"/>
  <c r="V45" i="8"/>
  <c r="U45" i="8"/>
  <c r="T45" i="8"/>
  <c r="V44" i="8"/>
  <c r="U44" i="8"/>
  <c r="T44" i="8"/>
  <c r="V43" i="8"/>
  <c r="U43" i="8"/>
  <c r="T43" i="8"/>
  <c r="V42" i="8"/>
  <c r="U42" i="8"/>
  <c r="T42" i="8"/>
  <c r="V41" i="8"/>
  <c r="U41" i="8"/>
  <c r="T41" i="8"/>
  <c r="V40" i="8"/>
  <c r="U40" i="8"/>
  <c r="T40" i="8"/>
  <c r="V39" i="8"/>
  <c r="U39" i="8"/>
  <c r="T39" i="8"/>
  <c r="V38" i="8"/>
  <c r="U38" i="8"/>
  <c r="T38" i="8"/>
  <c r="V37" i="8"/>
  <c r="U37" i="8"/>
  <c r="T37" i="8"/>
  <c r="V36" i="8"/>
  <c r="U36" i="8"/>
  <c r="T36" i="8"/>
  <c r="V35" i="8"/>
  <c r="U35" i="8"/>
  <c r="T35" i="8"/>
  <c r="V34" i="8"/>
  <c r="U34" i="8"/>
  <c r="T34" i="8"/>
  <c r="V33" i="8"/>
  <c r="U33" i="8"/>
  <c r="T33" i="8"/>
  <c r="V32" i="8"/>
  <c r="U32" i="8"/>
  <c r="T32" i="8"/>
  <c r="V31" i="8"/>
  <c r="U31" i="8"/>
  <c r="T31" i="8"/>
  <c r="V30" i="8"/>
  <c r="U30" i="8"/>
  <c r="T30" i="8"/>
  <c r="V29" i="8"/>
  <c r="U29" i="8"/>
  <c r="T29" i="8"/>
  <c r="V28" i="8"/>
  <c r="U28" i="8"/>
  <c r="T28" i="8"/>
  <c r="V27" i="8"/>
  <c r="U27" i="8"/>
  <c r="T27" i="8"/>
  <c r="V26" i="8"/>
  <c r="U26" i="8"/>
  <c r="T26" i="8"/>
  <c r="V25" i="8"/>
  <c r="U25" i="8"/>
  <c r="T25" i="8"/>
  <c r="V24" i="8"/>
  <c r="U24" i="8"/>
  <c r="T24" i="8"/>
  <c r="V23" i="8"/>
  <c r="U23" i="8"/>
  <c r="T23" i="8"/>
  <c r="V22" i="8"/>
  <c r="U22" i="8"/>
  <c r="T22" i="8"/>
  <c r="V21" i="8"/>
  <c r="U21" i="8"/>
  <c r="T21" i="8"/>
  <c r="V20" i="8"/>
  <c r="U20" i="8"/>
  <c r="T20" i="8"/>
  <c r="V19" i="8"/>
  <c r="U19" i="8"/>
  <c r="T19" i="8"/>
  <c r="V18" i="8"/>
  <c r="U18" i="8"/>
  <c r="T18" i="8"/>
  <c r="V17" i="8"/>
  <c r="U17" i="8"/>
  <c r="T17" i="8"/>
  <c r="V16" i="8"/>
  <c r="U16" i="8"/>
  <c r="T16" i="8"/>
  <c r="V15" i="8"/>
  <c r="U15" i="8"/>
  <c r="T15" i="8"/>
  <c r="V14" i="8"/>
  <c r="U14" i="8"/>
  <c r="T14" i="8"/>
  <c r="V13" i="8"/>
  <c r="U13" i="8"/>
  <c r="T13" i="8"/>
  <c r="V12" i="8"/>
  <c r="U12" i="8"/>
  <c r="T12" i="8"/>
  <c r="V11" i="8"/>
  <c r="U11" i="8"/>
  <c r="T11" i="8"/>
  <c r="V10" i="8"/>
  <c r="U10" i="8"/>
  <c r="T10" i="8"/>
  <c r="V9" i="8"/>
  <c r="U9" i="8"/>
  <c r="T9" i="8"/>
  <c r="V8" i="8"/>
  <c r="U8" i="8"/>
  <c r="T8" i="8"/>
  <c r="V7" i="8"/>
  <c r="U7" i="8"/>
  <c r="T7" i="8"/>
  <c r="V6" i="8"/>
  <c r="U6" i="8"/>
  <c r="U2" i="8" s="1"/>
  <c r="R8" i="8" s="1"/>
  <c r="T6" i="8"/>
  <c r="V5" i="8"/>
  <c r="U5" i="8"/>
  <c r="T5" i="8"/>
  <c r="R5" i="8"/>
  <c r="V4" i="8"/>
  <c r="U4" i="8"/>
  <c r="T4" i="8"/>
  <c r="R4" i="8"/>
  <c r="V3" i="8"/>
  <c r="U3" i="8"/>
  <c r="T3" i="8"/>
  <c r="R3" i="8"/>
  <c r="V2" i="8"/>
  <c r="R9" i="8" s="1"/>
  <c r="T2" i="8"/>
  <c r="R7" i="8" s="1"/>
  <c r="R1" i="8"/>
  <c r="V105" i="12"/>
  <c r="U105" i="12"/>
  <c r="T105" i="12"/>
  <c r="V104" i="12"/>
  <c r="U104" i="12"/>
  <c r="T104" i="12"/>
  <c r="V103" i="12"/>
  <c r="U103" i="12"/>
  <c r="T103" i="12"/>
  <c r="V102" i="12"/>
  <c r="U102" i="12"/>
  <c r="T102" i="12"/>
  <c r="V101" i="12"/>
  <c r="U101" i="12"/>
  <c r="T101" i="12"/>
  <c r="V100" i="12"/>
  <c r="U100" i="12"/>
  <c r="T100" i="12"/>
  <c r="V99" i="12"/>
  <c r="U99" i="12"/>
  <c r="T99" i="12"/>
  <c r="V98" i="12"/>
  <c r="U98" i="12"/>
  <c r="T98" i="12"/>
  <c r="V97" i="12"/>
  <c r="U97" i="12"/>
  <c r="T97" i="12"/>
  <c r="V96" i="12"/>
  <c r="U96" i="12"/>
  <c r="T96" i="12"/>
  <c r="V95" i="12"/>
  <c r="U95" i="12"/>
  <c r="T95" i="12"/>
  <c r="V94" i="12"/>
  <c r="U94" i="12"/>
  <c r="T94" i="12"/>
  <c r="V93" i="12"/>
  <c r="U93" i="12"/>
  <c r="T93" i="12"/>
  <c r="V92" i="12"/>
  <c r="U92" i="12"/>
  <c r="T92" i="12"/>
  <c r="V91" i="12"/>
  <c r="U91" i="12"/>
  <c r="T91" i="12"/>
  <c r="V90" i="12"/>
  <c r="U90" i="12"/>
  <c r="T90" i="12"/>
  <c r="V89" i="12"/>
  <c r="U89" i="12"/>
  <c r="T89" i="12"/>
  <c r="V88" i="12"/>
  <c r="U88" i="12"/>
  <c r="T88" i="12"/>
  <c r="V87" i="12"/>
  <c r="U87" i="12"/>
  <c r="T87" i="12"/>
  <c r="V86" i="12"/>
  <c r="U86" i="12"/>
  <c r="T86" i="12"/>
  <c r="V85" i="12"/>
  <c r="U85" i="12"/>
  <c r="T85" i="12"/>
  <c r="V84" i="12"/>
  <c r="U84" i="12"/>
  <c r="T84" i="12"/>
  <c r="V83" i="12"/>
  <c r="U83" i="12"/>
  <c r="T83" i="12"/>
  <c r="V82" i="12"/>
  <c r="U82" i="12"/>
  <c r="T82" i="12"/>
  <c r="V81" i="12"/>
  <c r="U81" i="12"/>
  <c r="T81" i="12"/>
  <c r="V80" i="12"/>
  <c r="U80" i="12"/>
  <c r="T80" i="12"/>
  <c r="V79" i="12"/>
  <c r="U79" i="12"/>
  <c r="T79" i="12"/>
  <c r="V78" i="12"/>
  <c r="U78" i="12"/>
  <c r="T78" i="12"/>
  <c r="V77" i="12"/>
  <c r="U77" i="12"/>
  <c r="T77" i="12"/>
  <c r="V76" i="12"/>
  <c r="U76" i="12"/>
  <c r="T76" i="12"/>
  <c r="V75" i="12"/>
  <c r="U75" i="12"/>
  <c r="T75" i="12"/>
  <c r="V74" i="12"/>
  <c r="U74" i="12"/>
  <c r="T74" i="12"/>
  <c r="V73" i="12"/>
  <c r="U73" i="12"/>
  <c r="T73" i="12"/>
  <c r="V72" i="12"/>
  <c r="U72" i="12"/>
  <c r="T72" i="12"/>
  <c r="V71" i="12"/>
  <c r="U71" i="12"/>
  <c r="T71" i="12"/>
  <c r="V70" i="12"/>
  <c r="U70" i="12"/>
  <c r="T70" i="12"/>
  <c r="V69" i="12"/>
  <c r="U69" i="12"/>
  <c r="T69" i="12"/>
  <c r="V68" i="12"/>
  <c r="U68" i="12"/>
  <c r="T68" i="12"/>
  <c r="V67" i="12"/>
  <c r="U67" i="12"/>
  <c r="T67" i="12"/>
  <c r="V66" i="12"/>
  <c r="U66" i="12"/>
  <c r="T66" i="12"/>
  <c r="V65" i="12"/>
  <c r="U65" i="12"/>
  <c r="T65" i="12"/>
  <c r="V64" i="12"/>
  <c r="U64" i="12"/>
  <c r="T64" i="12"/>
  <c r="V63" i="12"/>
  <c r="U63" i="12"/>
  <c r="T63" i="12"/>
  <c r="V62" i="12"/>
  <c r="U62" i="12"/>
  <c r="T62" i="12"/>
  <c r="V61" i="12"/>
  <c r="U61" i="12"/>
  <c r="T61" i="12"/>
  <c r="V60" i="12"/>
  <c r="U60" i="12"/>
  <c r="T60" i="12"/>
  <c r="V59" i="12"/>
  <c r="U59" i="12"/>
  <c r="T59" i="12"/>
  <c r="V58" i="12"/>
  <c r="U58" i="12"/>
  <c r="T58" i="12"/>
  <c r="V57" i="12"/>
  <c r="U57" i="12"/>
  <c r="T57" i="12"/>
  <c r="V56" i="12"/>
  <c r="U56" i="12"/>
  <c r="T56" i="12"/>
  <c r="V55" i="12"/>
  <c r="U55" i="12"/>
  <c r="T55" i="12"/>
  <c r="V54" i="12"/>
  <c r="U54" i="12"/>
  <c r="T54" i="12"/>
  <c r="V53" i="12"/>
  <c r="U53" i="12"/>
  <c r="T53" i="12"/>
  <c r="V52" i="12"/>
  <c r="U52" i="12"/>
  <c r="T52" i="12"/>
  <c r="V51" i="12"/>
  <c r="U51" i="12"/>
  <c r="T51" i="12"/>
  <c r="V50" i="12"/>
  <c r="U50" i="12"/>
  <c r="T50" i="12"/>
  <c r="V49" i="12"/>
  <c r="U49" i="12"/>
  <c r="T49" i="12"/>
  <c r="V48" i="12"/>
  <c r="U48" i="12"/>
  <c r="T48" i="12"/>
  <c r="V47" i="12"/>
  <c r="U47" i="12"/>
  <c r="T47" i="12"/>
  <c r="V46" i="12"/>
  <c r="U46" i="12"/>
  <c r="T46" i="12"/>
  <c r="V45" i="12"/>
  <c r="U45" i="12"/>
  <c r="T45" i="12"/>
  <c r="V44" i="12"/>
  <c r="U44" i="12"/>
  <c r="T44" i="12"/>
  <c r="V43" i="12"/>
  <c r="U43" i="12"/>
  <c r="T43" i="12"/>
  <c r="V42" i="12"/>
  <c r="U42" i="12"/>
  <c r="T42" i="12"/>
  <c r="V41" i="12"/>
  <c r="U41" i="12"/>
  <c r="T41" i="12"/>
  <c r="V40" i="12"/>
  <c r="U40" i="12"/>
  <c r="T40" i="12"/>
  <c r="V39" i="12"/>
  <c r="U39" i="12"/>
  <c r="T39" i="12"/>
  <c r="V38" i="12"/>
  <c r="U38" i="12"/>
  <c r="T38" i="12"/>
  <c r="V37" i="12"/>
  <c r="U37" i="12"/>
  <c r="T37" i="12"/>
  <c r="V36" i="12"/>
  <c r="U36" i="12"/>
  <c r="T36" i="12"/>
  <c r="V35" i="12"/>
  <c r="U35" i="12"/>
  <c r="T35" i="12"/>
  <c r="V34" i="12"/>
  <c r="U34" i="12"/>
  <c r="T34" i="12"/>
  <c r="V33" i="12"/>
  <c r="U33" i="12"/>
  <c r="T33" i="12"/>
  <c r="V32" i="12"/>
  <c r="U32" i="12"/>
  <c r="T32" i="12"/>
  <c r="V31" i="12"/>
  <c r="U31" i="12"/>
  <c r="T31" i="12"/>
  <c r="V30" i="12"/>
  <c r="U30" i="12"/>
  <c r="T30" i="12"/>
  <c r="V29" i="12"/>
  <c r="U29" i="12"/>
  <c r="T29" i="12"/>
  <c r="V28" i="12"/>
  <c r="U28" i="12"/>
  <c r="T28" i="12"/>
  <c r="V27" i="12"/>
  <c r="U27" i="12"/>
  <c r="T27" i="12"/>
  <c r="V26" i="12"/>
  <c r="U26" i="12"/>
  <c r="T26" i="12"/>
  <c r="V25" i="12"/>
  <c r="U25" i="12"/>
  <c r="T25" i="12"/>
  <c r="V24" i="12"/>
  <c r="U24" i="12"/>
  <c r="T24" i="12"/>
  <c r="V23" i="12"/>
  <c r="U23" i="12"/>
  <c r="T23" i="12"/>
  <c r="V22" i="12"/>
  <c r="U22" i="12"/>
  <c r="T22" i="12"/>
  <c r="V21" i="12"/>
  <c r="U21" i="12"/>
  <c r="T21" i="12"/>
  <c r="V20" i="12"/>
  <c r="U20" i="12"/>
  <c r="T20" i="12"/>
  <c r="V19" i="12"/>
  <c r="U19" i="12"/>
  <c r="T19" i="12"/>
  <c r="V18" i="12"/>
  <c r="U18" i="12"/>
  <c r="T18" i="12"/>
  <c r="V17" i="12"/>
  <c r="U17" i="12"/>
  <c r="T17" i="12"/>
  <c r="V16" i="12"/>
  <c r="U16" i="12"/>
  <c r="T16" i="12"/>
  <c r="V15" i="12"/>
  <c r="U15" i="12"/>
  <c r="T15" i="12"/>
  <c r="V14" i="12"/>
  <c r="U14" i="12"/>
  <c r="T14" i="12"/>
  <c r="V13" i="12"/>
  <c r="U13" i="12"/>
  <c r="T13" i="12"/>
  <c r="V12" i="12"/>
  <c r="U12" i="12"/>
  <c r="T12" i="12"/>
  <c r="V11" i="12"/>
  <c r="U11" i="12"/>
  <c r="T11" i="12"/>
  <c r="V10" i="12"/>
  <c r="U10" i="12"/>
  <c r="T10" i="12"/>
  <c r="V9" i="12"/>
  <c r="U9" i="12"/>
  <c r="T9" i="12"/>
  <c r="V8" i="12"/>
  <c r="U8" i="12"/>
  <c r="T8" i="12"/>
  <c r="V7" i="12"/>
  <c r="U7" i="12"/>
  <c r="T7" i="12"/>
  <c r="V6" i="12"/>
  <c r="U6" i="12"/>
  <c r="T6" i="12"/>
  <c r="V5" i="12"/>
  <c r="U5" i="12"/>
  <c r="T5" i="12"/>
  <c r="V4" i="12"/>
  <c r="U4" i="12"/>
  <c r="T4" i="12"/>
  <c r="V3" i="12"/>
  <c r="U3" i="12"/>
  <c r="T3" i="12"/>
  <c r="V2" i="12" l="1"/>
  <c r="R9" i="12" s="1"/>
  <c r="B11" i="2"/>
  <c r="R5" i="12"/>
  <c r="R4" i="12"/>
  <c r="R3" i="12"/>
  <c r="B10" i="2"/>
  <c r="U2" i="12"/>
  <c r="T2" i="12"/>
  <c r="R8" i="12" l="1"/>
  <c r="R7" i="12"/>
  <c r="R1" i="12"/>
  <c r="B9" i="2" s="1"/>
  <c r="B8" i="2" s="1"/>
</calcChain>
</file>

<file path=xl/sharedStrings.xml><?xml version="1.0" encoding="utf-8"?>
<sst xmlns="http://schemas.openxmlformats.org/spreadsheetml/2006/main" count="276" uniqueCount="175">
  <si>
    <t>Call sign</t>
  </si>
  <si>
    <t>Date</t>
  </si>
  <si>
    <t>Time</t>
  </si>
  <si>
    <t>SSB</t>
  </si>
  <si>
    <t>CW</t>
  </si>
  <si>
    <t>Exchange sent</t>
  </si>
  <si>
    <t>Total Score</t>
  </si>
  <si>
    <t>Freq</t>
  </si>
  <si>
    <t>Grid</t>
  </si>
  <si>
    <t>Phone QSOs</t>
  </si>
  <si>
    <t>CW QSOs</t>
  </si>
  <si>
    <t>QSO points</t>
  </si>
  <si>
    <t>E-mail</t>
  </si>
  <si>
    <t>Claimed Score</t>
  </si>
  <si>
    <t>Club Name:</t>
  </si>
  <si>
    <t>I declare that this station was operated in accordance with the Amateur Radio Regulations, Terms of my Licence and the Rules of the Contest. I have read the contest and general rules in the Blue Book. I accept the decision of the Contest Committee.</t>
  </si>
  <si>
    <t>Club Points</t>
  </si>
  <si>
    <t>Grid Points</t>
  </si>
  <si>
    <t>Each new Club worked = 1 point</t>
  </si>
  <si>
    <t>Each new Grid worked = 2 points</t>
  </si>
  <si>
    <t>Grid Points x 2</t>
  </si>
  <si>
    <t>Club points x 1</t>
  </si>
  <si>
    <t>Club</t>
  </si>
  <si>
    <t>Remarks</t>
  </si>
  <si>
    <t>Each SSB QSO = 2 points</t>
  </si>
  <si>
    <t>Each CW or RTTY QSO = 3 points</t>
  </si>
  <si>
    <t>Mode: SSB, CW or RTTY</t>
  </si>
  <si>
    <t>RTTY</t>
  </si>
  <si>
    <t>RTTY QSOs</t>
  </si>
  <si>
    <t>QSO points: 2 SSB 3 other</t>
  </si>
  <si>
    <t>Exchange received</t>
  </si>
  <si>
    <t>Your Club</t>
  </si>
  <si>
    <t>Your Grid</t>
  </si>
  <si>
    <t>2023 Wednesday 80 m Club Contest</t>
  </si>
  <si>
    <t>Name and Surname</t>
  </si>
  <si>
    <t>B.  DO NOT tamper with the formulae. DO NOT colour in the worksheets!</t>
  </si>
  <si>
    <t>Club Names and Abbreviations for the Wednesday 80 m and Saturday 40 m Club Sprints</t>
  </si>
  <si>
    <t xml:space="preserve">Antique Wireless Association </t>
  </si>
  <si>
    <t>BARC</t>
  </si>
  <si>
    <t>Bloemfontein Amateur Radio Club</t>
  </si>
  <si>
    <t>BKARK</t>
  </si>
  <si>
    <t>Bo Karoo Amateurradioklub</t>
  </si>
  <si>
    <t xml:space="preserve">Boland Amateurradioklub </t>
  </si>
  <si>
    <t>Border Radio Club </t>
  </si>
  <si>
    <t>Cape Radio Group </t>
  </si>
  <si>
    <t>CTARC</t>
  </si>
  <si>
    <t xml:space="preserve">Cape Town Amateur Radio Centre  </t>
  </si>
  <si>
    <t>CARC</t>
  </si>
  <si>
    <t>Centurion Radio Amateur Club </t>
  </si>
  <si>
    <t>Durban Amateur Radio Club </t>
  </si>
  <si>
    <t>DX Safari Radio Club </t>
  </si>
  <si>
    <t>East Rand Radio Club </t>
  </si>
  <si>
    <t>Ekurhuleni Amateur Radio Society </t>
  </si>
  <si>
    <t>False Bay Amateur Radio Club </t>
  </si>
  <si>
    <t>Hammies1</t>
  </si>
  <si>
    <t xml:space="preserve">Hammies Amateur Radio Club (Div 1)  </t>
  </si>
  <si>
    <t xml:space="preserve">Hammies Amateur Radio Club (Div 2)  </t>
  </si>
  <si>
    <t xml:space="preserve">Hammies Amateur Radio Club (Div 3)  </t>
  </si>
  <si>
    <t xml:space="preserve">Hammies Amateur Radio Club (Div 4)  </t>
  </si>
  <si>
    <t xml:space="preserve">Hammies Amateur Radio Club (Div 5)  </t>
  </si>
  <si>
    <t xml:space="preserve">Hammies Amateur Radio Club (Div 6)  </t>
  </si>
  <si>
    <t>Hibiscus Coast Amateur Radio Club </t>
  </si>
  <si>
    <t>Highveld Amateur Radio Club </t>
  </si>
  <si>
    <t>Highway Amateur Radio Club </t>
  </si>
  <si>
    <t>Jeugland Radio Club </t>
  </si>
  <si>
    <t>Johannesburg Amateur Radio Club </t>
  </si>
  <si>
    <t>John Vorster Hoer Tegnikus Skool </t>
  </si>
  <si>
    <t>Kempton Amateur Radio Technical Society </t>
  </si>
  <si>
    <t>Kimberley Amateurradioklub </t>
  </si>
  <si>
    <t>Laeveld Amateur Radio Klub </t>
  </si>
  <si>
    <t>Lichtenburg Amateur Radio Klub </t>
  </si>
  <si>
    <t>Magalies Radioamateurklub </t>
  </si>
  <si>
    <t>Midlands Amateur Radio Club </t>
  </si>
  <si>
    <t>Mooirivier Amateurradioklub </t>
  </si>
  <si>
    <t>NASA</t>
  </si>
  <si>
    <t xml:space="preserve">Namaqualand Aero Sport Association  </t>
  </si>
  <si>
    <t xml:space="preserve">Namibian Amateur Radio League </t>
  </si>
  <si>
    <t>NKARK</t>
  </si>
  <si>
    <t>Noord Kaap Amateurradioklub </t>
  </si>
  <si>
    <t>NNARK</t>
  </si>
  <si>
    <t>Noord Natal Amateurradioklub </t>
  </si>
  <si>
    <t>Noordwes Amateurradioklub </t>
  </si>
  <si>
    <t>Oakdale Amateurradioklub </t>
  </si>
  <si>
    <t>OTL Radioklub </t>
  </si>
  <si>
    <t>Overberg Amateurradioklub </t>
  </si>
  <si>
    <t>Port Elizabeth Amateur Radio Society </t>
  </si>
  <si>
    <t>Potchefstroom Amateurradioklub </t>
  </si>
  <si>
    <t>Pretoria Amateur Radio Club </t>
  </si>
  <si>
    <t>Roman Rock Radio Club </t>
  </si>
  <si>
    <t>Rustenburg Amateur Radio Klub </t>
  </si>
  <si>
    <t>SA Institute of Electrical Engineers Museum </t>
  </si>
  <si>
    <t>SABC Amateur Radio Club </t>
  </si>
  <si>
    <t>Sandringham Scout Group </t>
  </si>
  <si>
    <t>Sandton Amateur Radio Club </t>
  </si>
  <si>
    <t>SARL</t>
  </si>
  <si>
    <t>Sasolburg Amateurradioklub </t>
  </si>
  <si>
    <t>SCS Aerospace Group Amateur Radio Club </t>
  </si>
  <si>
    <t>Secunda Amateur Radio Club </t>
  </si>
  <si>
    <t>Southern Suburbs Amateur Radio Club </t>
  </si>
  <si>
    <t>Soutpansberg Amateur Radio Club </t>
  </si>
  <si>
    <t>Suid Kaap Amateurradioklub </t>
  </si>
  <si>
    <t>Sutherland Amateur Radio Club </t>
  </si>
  <si>
    <t>The Radio Club </t>
  </si>
  <si>
    <t>The Southern African Morse Operators Club </t>
  </si>
  <si>
    <t>VTARC</t>
  </si>
  <si>
    <t>Vaal Triangle Amateur Radio Club </t>
  </si>
  <si>
    <t>Vrystaat Amateurradioklub </t>
  </si>
  <si>
    <t>Welkom Radioklub </t>
  </si>
  <si>
    <t>West Rand Amateur Radio Club </t>
  </si>
  <si>
    <t>Winelands Amateur Radio Club </t>
  </si>
  <si>
    <t>Wolkberg Amateurradioklub </t>
  </si>
  <si>
    <t>Zululand Amateur Radio Club </t>
  </si>
  <si>
    <t>No Club</t>
  </si>
  <si>
    <t>BARK</t>
  </si>
  <si>
    <t>BRC</t>
  </si>
  <si>
    <t>GRC</t>
  </si>
  <si>
    <t>DARC</t>
  </si>
  <si>
    <t>DXSRC</t>
  </si>
  <si>
    <t>ERARC</t>
  </si>
  <si>
    <t>EARS</t>
  </si>
  <si>
    <t>FBARC</t>
  </si>
  <si>
    <t>AWA</t>
  </si>
  <si>
    <t>HCARC</t>
  </si>
  <si>
    <t>HVARC</t>
  </si>
  <si>
    <t>HARC</t>
  </si>
  <si>
    <t>JRC</t>
  </si>
  <si>
    <t>JARC</t>
  </si>
  <si>
    <t>JVT</t>
  </si>
  <si>
    <t>KARTS</t>
  </si>
  <si>
    <t>KARK</t>
  </si>
  <si>
    <t>LARK</t>
  </si>
  <si>
    <t>LARC</t>
  </si>
  <si>
    <t>MRK</t>
  </si>
  <si>
    <t>MARC</t>
  </si>
  <si>
    <t>MARK</t>
  </si>
  <si>
    <t>NARL</t>
  </si>
  <si>
    <t>NARK</t>
  </si>
  <si>
    <t>OARK</t>
  </si>
  <si>
    <t>OTL</t>
  </si>
  <si>
    <t>PEARS</t>
  </si>
  <si>
    <t>PARK</t>
  </si>
  <si>
    <t>PARC</t>
  </si>
  <si>
    <t>RRRC</t>
  </si>
  <si>
    <t>RARK</t>
  </si>
  <si>
    <t>SAIEEM</t>
  </si>
  <si>
    <t>SABC</t>
  </si>
  <si>
    <t>SSG</t>
  </si>
  <si>
    <t>SARC</t>
  </si>
  <si>
    <t>SARK</t>
  </si>
  <si>
    <t>SCS</t>
  </si>
  <si>
    <t>SRC</t>
  </si>
  <si>
    <t>SSARC</t>
  </si>
  <si>
    <t>SPB</t>
  </si>
  <si>
    <t>SKARK</t>
  </si>
  <si>
    <t>OBS</t>
  </si>
  <si>
    <t>TRC</t>
  </si>
  <si>
    <t>SAMOC</t>
  </si>
  <si>
    <t>VARK</t>
  </si>
  <si>
    <t>WRK</t>
  </si>
  <si>
    <t>WRARC</t>
  </si>
  <si>
    <t>WARC</t>
  </si>
  <si>
    <t>WARK</t>
  </si>
  <si>
    <t>ZARC</t>
  </si>
  <si>
    <t>February - Phone</t>
  </si>
  <si>
    <t>May - Phone</t>
  </si>
  <si>
    <t>August - CW and RTTY</t>
  </si>
  <si>
    <t>October - Phone</t>
  </si>
  <si>
    <t>AARIG</t>
  </si>
  <si>
    <t>Alberton Amateur Radio Interest Group</t>
  </si>
  <si>
    <t>EARC</t>
  </si>
  <si>
    <t>Eden Amateur Radio Club</t>
  </si>
  <si>
    <t>SARL members who do not belong to a Club</t>
  </si>
  <si>
    <t>Non SARL members and who do not belong to a Club</t>
  </si>
  <si>
    <r>
      <t xml:space="preserve">A.  The ONLY address for your log sheet is </t>
    </r>
    <r>
      <rPr>
        <b/>
        <sz val="12"/>
        <color theme="1"/>
        <rFont val="Calibri"/>
        <family val="2"/>
        <scheme val="minor"/>
      </rPr>
      <t>contest@sarl.org.za</t>
    </r>
    <r>
      <rPr>
        <sz val="12"/>
        <color theme="1"/>
        <rFont val="Calibri"/>
        <family val="2"/>
        <scheme val="minor"/>
      </rPr>
      <t>. DO NOT send it to any other e-mail address.</t>
    </r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</si>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</sst>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0.000"/>
  </numFmts>
  <fonts count="3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2"/>
      <color rgb="FFFF0000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i/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i/>
      <sz val="10"/>
      <color theme="1"/>
      <name val="Calibri"/>
      <family val="2"/>
    </font>
    <font>
      <b/>
      <i/>
      <u/>
      <sz val="12"/>
      <color theme="1"/>
      <name val="Calibri"/>
      <family val="2"/>
    </font>
    <font>
      <sz val="14"/>
      <color theme="1"/>
      <name val="Calibri"/>
      <family val="2"/>
    </font>
    <font>
      <b/>
      <u/>
      <sz val="12"/>
      <color theme="1"/>
      <name val="Calibri"/>
      <family val="2"/>
    </font>
    <font>
      <sz val="12"/>
      <color indexed="8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sz val="20"/>
      <color rgb="FF3333FF"/>
      <name val="Calibri"/>
      <family val="2"/>
      <scheme val="minor"/>
    </font>
    <font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5"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27" fillId="0" borderId="0" applyNumberFormat="0" applyFill="0" applyBorder="0" applyAlignment="0" applyProtection="0"/>
  </cellStyleXfs>
  <cellXfs count="231">
    <xf numFmtId="0" fontId="0" fillId="0" borderId="0" xfId="0"/>
    <xf numFmtId="0" fontId="11" fillId="0" borderId="0" xfId="0" applyFont="1"/>
    <xf numFmtId="0" fontId="10" fillId="0" borderId="0" xfId="0" applyFont="1"/>
    <xf numFmtId="0" fontId="14" fillId="0" borderId="0" xfId="1" applyFont="1"/>
    <xf numFmtId="0" fontId="15" fillId="0" borderId="0" xfId="0" applyFont="1"/>
    <xf numFmtId="0" fontId="5" fillId="0" borderId="0" xfId="0" applyFont="1"/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3" fontId="9" fillId="3" borderId="1" xfId="0" applyNumberFormat="1" applyFont="1" applyFill="1" applyBorder="1" applyAlignment="1">
      <alignment horizontal="center" vertical="top"/>
    </xf>
    <xf numFmtId="0" fontId="18" fillId="0" borderId="0" xfId="0" applyFont="1" applyAlignment="1">
      <alignment horizontal="left"/>
    </xf>
    <xf numFmtId="15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top"/>
    </xf>
    <xf numFmtId="20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top"/>
    </xf>
    <xf numFmtId="0" fontId="5" fillId="0" borderId="4" xfId="0" applyFont="1" applyBorder="1" applyAlignment="1">
      <alignment horizontal="left"/>
    </xf>
    <xf numFmtId="0" fontId="5" fillId="0" borderId="0" xfId="0" applyFont="1" applyAlignment="1">
      <alignment horizontal="left" vertical="top"/>
    </xf>
    <xf numFmtId="0" fontId="19" fillId="0" borderId="0" xfId="0" applyFont="1" applyAlignment="1">
      <alignment horizontal="left"/>
    </xf>
    <xf numFmtId="0" fontId="20" fillId="0" borderId="0" xfId="31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20" fillId="0" borderId="0" xfId="31" applyFont="1" applyAlignment="1">
      <alignment horizontal="left" vertical="top"/>
    </xf>
    <xf numFmtId="0" fontId="19" fillId="0" borderId="0" xfId="0" applyFont="1" applyAlignment="1">
      <alignment horizontal="left" vertical="top"/>
    </xf>
    <xf numFmtId="0" fontId="5" fillId="0" borderId="4" xfId="0" applyFont="1" applyBorder="1"/>
    <xf numFmtId="0" fontId="19" fillId="0" borderId="0" xfId="0" applyFont="1"/>
    <xf numFmtId="0" fontId="19" fillId="0" borderId="4" xfId="0" applyFont="1" applyBorder="1" applyAlignment="1">
      <alignment horizontal="left"/>
    </xf>
    <xf numFmtId="49" fontId="19" fillId="0" borderId="0" xfId="0" applyNumberFormat="1" applyFont="1" applyAlignment="1">
      <alignment horizontal="left"/>
    </xf>
    <xf numFmtId="49" fontId="19" fillId="0" borderId="0" xfId="0" applyNumberFormat="1" applyFont="1"/>
    <xf numFmtId="0" fontId="20" fillId="0" borderId="0" xfId="0" applyFont="1" applyAlignment="1">
      <alignment horizontal="left" vertical="top"/>
    </xf>
    <xf numFmtId="0" fontId="20" fillId="0" borderId="0" xfId="0" applyFont="1" applyAlignment="1">
      <alignment vertical="top"/>
    </xf>
    <xf numFmtId="20" fontId="20" fillId="0" borderId="0" xfId="0" applyNumberFormat="1" applyFont="1" applyAlignment="1">
      <alignment horizontal="left" vertical="top"/>
    </xf>
    <xf numFmtId="20" fontId="20" fillId="0" borderId="0" xfId="0" applyNumberFormat="1" applyFont="1" applyAlignment="1">
      <alignment vertical="top"/>
    </xf>
    <xf numFmtId="0" fontId="19" fillId="0" borderId="0" xfId="0" applyFont="1" applyAlignment="1">
      <alignment vertical="top"/>
    </xf>
    <xf numFmtId="0" fontId="19" fillId="0" borderId="0" xfId="0" applyFont="1" applyAlignment="1">
      <alignment horizontal="center" vertical="center"/>
    </xf>
    <xf numFmtId="0" fontId="20" fillId="0" borderId="0" xfId="22" applyFont="1"/>
    <xf numFmtId="0" fontId="20" fillId="0" borderId="0" xfId="32" applyFont="1" applyAlignment="1">
      <alignment horizontal="right"/>
    </xf>
    <xf numFmtId="0" fontId="20" fillId="0" borderId="0" xfId="2" applyFont="1" applyAlignment="1">
      <alignment horizontal="right"/>
    </xf>
    <xf numFmtId="0" fontId="20" fillId="0" borderId="0" xfId="23" applyFont="1"/>
    <xf numFmtId="0" fontId="20" fillId="0" borderId="0" xfId="33" applyFont="1" applyAlignment="1">
      <alignment horizontal="right"/>
    </xf>
    <xf numFmtId="0" fontId="5" fillId="4" borderId="0" xfId="0" applyFont="1" applyFill="1"/>
    <xf numFmtId="0" fontId="20" fillId="5" borderId="0" xfId="23" applyFont="1" applyFill="1"/>
    <xf numFmtId="0" fontId="20" fillId="5" borderId="0" xfId="33" applyFont="1" applyFill="1" applyAlignment="1">
      <alignment horizontal="right"/>
    </xf>
    <xf numFmtId="0" fontId="5" fillId="5" borderId="0" xfId="0" applyFont="1" applyFill="1" applyAlignment="1">
      <alignment horizontal="left" vertical="top"/>
    </xf>
    <xf numFmtId="0" fontId="20" fillId="5" borderId="0" xfId="2" applyFont="1" applyFill="1" applyAlignment="1">
      <alignment horizontal="right"/>
    </xf>
    <xf numFmtId="0" fontId="20" fillId="5" borderId="0" xfId="22" applyFont="1" applyFill="1"/>
    <xf numFmtId="0" fontId="20" fillId="5" borderId="0" xfId="32" applyFont="1" applyFill="1" applyAlignment="1">
      <alignment horizontal="right"/>
    </xf>
    <xf numFmtId="49" fontId="19" fillId="0" borderId="0" xfId="0" applyNumberFormat="1" applyFont="1" applyAlignment="1">
      <alignment horizontal="left" vertical="top"/>
    </xf>
    <xf numFmtId="0" fontId="20" fillId="6" borderId="0" xfId="0" applyFont="1" applyFill="1" applyAlignment="1">
      <alignment horizontal="left" vertical="top"/>
    </xf>
    <xf numFmtId="0" fontId="8" fillId="0" borderId="0" xfId="0" applyFont="1" applyAlignment="1">
      <alignment horizontal="left" vertical="top"/>
    </xf>
    <xf numFmtId="0" fontId="5" fillId="6" borderId="0" xfId="0" applyFont="1" applyFill="1" applyAlignment="1">
      <alignment horizontal="left" vertical="top"/>
    </xf>
    <xf numFmtId="0" fontId="20" fillId="0" borderId="0" xfId="16" applyFont="1" applyAlignment="1">
      <alignment horizontal="left" vertical="top"/>
    </xf>
    <xf numFmtId="0" fontId="20" fillId="0" borderId="0" xfId="17" applyFont="1" applyAlignment="1">
      <alignment horizontal="left" vertical="top"/>
    </xf>
    <xf numFmtId="0" fontId="20" fillId="0" borderId="0" xfId="18" applyFont="1" applyAlignment="1">
      <alignment horizontal="left" vertical="top"/>
    </xf>
    <xf numFmtId="0" fontId="20" fillId="0" borderId="0" xfId="19" applyFont="1" applyAlignment="1">
      <alignment horizontal="left" vertical="top"/>
    </xf>
    <xf numFmtId="0" fontId="20" fillId="0" borderId="0" xfId="15" applyFont="1" applyAlignment="1">
      <alignment horizontal="left" vertical="top"/>
    </xf>
    <xf numFmtId="0" fontId="20" fillId="0" borderId="0" xfId="3" applyFont="1" applyAlignment="1">
      <alignment horizontal="left" vertical="top" wrapText="1"/>
    </xf>
    <xf numFmtId="0" fontId="20" fillId="0" borderId="0" xfId="4" applyFont="1" applyAlignment="1">
      <alignment horizontal="left" vertical="top" wrapText="1"/>
    </xf>
    <xf numFmtId="0" fontId="20" fillId="0" borderId="0" xfId="6" applyFont="1" applyAlignment="1">
      <alignment horizontal="left" vertical="top" wrapText="1"/>
    </xf>
    <xf numFmtId="0" fontId="20" fillId="0" borderId="0" xfId="5" applyFont="1" applyAlignment="1">
      <alignment horizontal="left" vertical="top" wrapText="1"/>
    </xf>
    <xf numFmtId="0" fontId="20" fillId="0" borderId="0" xfId="6" applyFont="1" applyAlignment="1">
      <alignment horizontal="left" vertical="top"/>
    </xf>
    <xf numFmtId="0" fontId="20" fillId="0" borderId="0" xfId="3" applyFont="1" applyAlignment="1">
      <alignment horizontal="left" vertical="top"/>
    </xf>
    <xf numFmtId="0" fontId="20" fillId="0" borderId="0" xfId="4" applyFont="1" applyAlignment="1">
      <alignment horizontal="left" vertical="top"/>
    </xf>
    <xf numFmtId="0" fontId="20" fillId="0" borderId="0" xfId="5" applyFont="1" applyAlignment="1">
      <alignment horizontal="left" vertical="top"/>
    </xf>
    <xf numFmtId="49" fontId="5" fillId="0" borderId="0" xfId="0" applyNumberFormat="1" applyFont="1"/>
    <xf numFmtId="0" fontId="20" fillId="0" borderId="0" xfId="0" applyFont="1"/>
    <xf numFmtId="0" fontId="20" fillId="0" borderId="0" xfId="0" applyFont="1" applyAlignment="1">
      <alignment horizontal="left"/>
    </xf>
    <xf numFmtId="0" fontId="5" fillId="5" borderId="0" xfId="0" applyFont="1" applyFill="1"/>
    <xf numFmtId="0" fontId="5" fillId="5" borderId="0" xfId="0" applyFont="1" applyFill="1" applyAlignment="1">
      <alignment horizontal="left"/>
    </xf>
    <xf numFmtId="0" fontId="20" fillId="0" borderId="0" xfId="8" applyFont="1" applyAlignment="1">
      <alignment horizontal="center"/>
    </xf>
    <xf numFmtId="0" fontId="20" fillId="0" borderId="0" xfId="8" applyFont="1"/>
    <xf numFmtId="0" fontId="20" fillId="0" borderId="0" xfId="8" applyFont="1" applyAlignment="1">
      <alignment horizontal="left" vertical="top"/>
    </xf>
    <xf numFmtId="15" fontId="20" fillId="0" borderId="0" xfId="21" applyNumberFormat="1" applyFont="1" applyAlignment="1">
      <alignment horizontal="center"/>
    </xf>
    <xf numFmtId="0" fontId="19" fillId="0" borderId="0" xfId="0" applyFont="1" applyAlignment="1">
      <alignment horizontal="center"/>
    </xf>
    <xf numFmtId="20" fontId="20" fillId="0" borderId="0" xfId="8" applyNumberFormat="1" applyFont="1" applyAlignment="1">
      <alignment horizontal="center"/>
    </xf>
    <xf numFmtId="14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20" fillId="0" borderId="0" xfId="21" applyFont="1" applyAlignment="1">
      <alignment horizontal="center"/>
    </xf>
    <xf numFmtId="20" fontId="20" fillId="0" borderId="0" xfId="21" applyNumberFormat="1" applyFont="1" applyAlignment="1">
      <alignment horizontal="center"/>
    </xf>
    <xf numFmtId="49" fontId="5" fillId="0" borderId="0" xfId="0" applyNumberFormat="1" applyFont="1" applyAlignment="1">
      <alignment horizontal="left"/>
    </xf>
    <xf numFmtId="0" fontId="11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13" fillId="0" borderId="0" xfId="0" applyFont="1" applyAlignment="1">
      <alignment vertical="top"/>
    </xf>
    <xf numFmtId="0" fontId="16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7" fillId="0" borderId="0" xfId="0" applyFont="1" applyAlignment="1">
      <alignment horizontal="left" vertical="top"/>
    </xf>
    <xf numFmtId="0" fontId="22" fillId="0" borderId="0" xfId="0" applyFont="1" applyAlignment="1">
      <alignment vertical="center"/>
    </xf>
    <xf numFmtId="0" fontId="22" fillId="0" borderId="0" xfId="0" applyFont="1"/>
    <xf numFmtId="1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20" fillId="0" borderId="0" xfId="31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9" fillId="0" borderId="4" xfId="0" applyFont="1" applyBorder="1" applyAlignment="1">
      <alignment horizontal="left" vertical="center"/>
    </xf>
    <xf numFmtId="49" fontId="19" fillId="0" borderId="0" xfId="0" applyNumberFormat="1" applyFont="1" applyAlignment="1">
      <alignment horizontal="left" vertical="center"/>
    </xf>
    <xf numFmtId="49" fontId="19" fillId="0" borderId="0" xfId="0" applyNumberFormat="1" applyFont="1" applyAlignment="1">
      <alignment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20" fontId="20" fillId="0" borderId="0" xfId="0" applyNumberFormat="1" applyFont="1" applyAlignment="1">
      <alignment horizontal="left" vertical="center"/>
    </xf>
    <xf numFmtId="20" fontId="20" fillId="0" borderId="0" xfId="0" applyNumberFormat="1" applyFont="1" applyAlignment="1">
      <alignment vertical="center"/>
    </xf>
    <xf numFmtId="0" fontId="20" fillId="0" borderId="0" xfId="22" applyFont="1" applyAlignment="1">
      <alignment vertical="center"/>
    </xf>
    <xf numFmtId="0" fontId="20" fillId="0" borderId="0" xfId="32" applyFont="1" applyAlignment="1">
      <alignment horizontal="right" vertical="center"/>
    </xf>
    <xf numFmtId="0" fontId="20" fillId="0" borderId="0" xfId="2" applyFont="1" applyAlignment="1">
      <alignment horizontal="right" vertical="center"/>
    </xf>
    <xf numFmtId="0" fontId="20" fillId="0" borderId="0" xfId="23" applyFont="1" applyAlignment="1">
      <alignment vertical="center"/>
    </xf>
    <xf numFmtId="0" fontId="20" fillId="0" borderId="0" xfId="33" applyFont="1" applyAlignment="1">
      <alignment horizontal="right" vertical="center"/>
    </xf>
    <xf numFmtId="0" fontId="5" fillId="4" borderId="0" xfId="0" applyFont="1" applyFill="1" applyAlignment="1">
      <alignment vertical="center"/>
    </xf>
    <xf numFmtId="0" fontId="20" fillId="5" borderId="0" xfId="23" applyFont="1" applyFill="1" applyAlignment="1">
      <alignment vertical="center"/>
    </xf>
    <xf numFmtId="0" fontId="20" fillId="5" borderId="0" xfId="33" applyFont="1" applyFill="1" applyAlignment="1">
      <alignment horizontal="right" vertical="center"/>
    </xf>
    <xf numFmtId="0" fontId="5" fillId="5" borderId="0" xfId="0" applyFont="1" applyFill="1" applyAlignment="1">
      <alignment horizontal="left" vertical="center"/>
    </xf>
    <xf numFmtId="0" fontId="20" fillId="5" borderId="0" xfId="2" applyFont="1" applyFill="1" applyAlignment="1">
      <alignment horizontal="right" vertical="center"/>
    </xf>
    <xf numFmtId="0" fontId="20" fillId="5" borderId="0" xfId="22" applyFont="1" applyFill="1" applyAlignment="1">
      <alignment vertical="center"/>
    </xf>
    <xf numFmtId="0" fontId="20" fillId="5" borderId="0" xfId="32" applyFont="1" applyFill="1" applyAlignment="1">
      <alignment horizontal="right" vertical="center"/>
    </xf>
    <xf numFmtId="0" fontId="20" fillId="6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20" fillId="0" borderId="0" xfId="16" applyFont="1" applyAlignment="1">
      <alignment horizontal="left" vertical="center"/>
    </xf>
    <xf numFmtId="0" fontId="20" fillId="0" borderId="0" xfId="17" applyFont="1" applyAlignment="1">
      <alignment horizontal="left" vertical="center"/>
    </xf>
    <xf numFmtId="0" fontId="20" fillId="0" borderId="0" xfId="18" applyFont="1" applyAlignment="1">
      <alignment horizontal="left" vertical="center"/>
    </xf>
    <xf numFmtId="0" fontId="20" fillId="0" borderId="0" xfId="19" applyFont="1" applyAlignment="1">
      <alignment horizontal="left" vertical="center"/>
    </xf>
    <xf numFmtId="0" fontId="20" fillId="0" borderId="0" xfId="15" applyFont="1" applyAlignment="1">
      <alignment horizontal="left" vertical="center"/>
    </xf>
    <xf numFmtId="0" fontId="20" fillId="0" borderId="0" xfId="3" applyFont="1" applyAlignment="1">
      <alignment horizontal="left" vertical="center" wrapText="1"/>
    </xf>
    <xf numFmtId="0" fontId="20" fillId="0" borderId="0" xfId="4" applyFont="1" applyAlignment="1">
      <alignment horizontal="left" vertical="center" wrapText="1"/>
    </xf>
    <xf numFmtId="0" fontId="20" fillId="0" borderId="0" xfId="6" applyFont="1" applyAlignment="1">
      <alignment horizontal="left" vertical="center" wrapText="1"/>
    </xf>
    <xf numFmtId="0" fontId="20" fillId="0" borderId="0" xfId="5" applyFont="1" applyAlignment="1">
      <alignment horizontal="left" vertical="center" wrapText="1"/>
    </xf>
    <xf numFmtId="0" fontId="20" fillId="0" borderId="0" xfId="6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20" fillId="0" borderId="0" xfId="4" applyFont="1" applyAlignment="1">
      <alignment horizontal="left" vertical="center"/>
    </xf>
    <xf numFmtId="0" fontId="20" fillId="0" borderId="0" xfId="5" applyFont="1" applyAlignment="1">
      <alignment horizontal="left" vertical="center"/>
    </xf>
    <xf numFmtId="49" fontId="5" fillId="0" borderId="0" xfId="0" applyNumberFormat="1" applyFont="1" applyAlignment="1">
      <alignment vertical="center"/>
    </xf>
    <xf numFmtId="0" fontId="5" fillId="5" borderId="0" xfId="0" applyFont="1" applyFill="1" applyAlignment="1">
      <alignment vertical="center"/>
    </xf>
    <xf numFmtId="0" fontId="20" fillId="0" borderId="0" xfId="8" applyFont="1" applyAlignment="1">
      <alignment horizontal="center" vertical="center"/>
    </xf>
    <xf numFmtId="0" fontId="20" fillId="0" borderId="0" xfId="8" applyFont="1" applyAlignment="1">
      <alignment vertical="center"/>
    </xf>
    <xf numFmtId="0" fontId="20" fillId="0" borderId="0" xfId="8" applyFont="1" applyAlignment="1">
      <alignment horizontal="left" vertical="center"/>
    </xf>
    <xf numFmtId="15" fontId="20" fillId="0" borderId="0" xfId="21" applyNumberFormat="1" applyFont="1" applyAlignment="1">
      <alignment horizontal="center" vertical="center"/>
    </xf>
    <xf numFmtId="20" fontId="20" fillId="0" borderId="0" xfId="8" applyNumberFormat="1" applyFont="1" applyAlignment="1">
      <alignment horizontal="center" vertical="center"/>
    </xf>
    <xf numFmtId="14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21" applyFont="1" applyAlignment="1">
      <alignment horizontal="center" vertical="center"/>
    </xf>
    <xf numFmtId="20" fontId="20" fillId="0" borderId="0" xfId="2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0" fontId="4" fillId="0" borderId="1" xfId="0" applyFont="1" applyBorder="1" applyAlignment="1">
      <alignment vertical="top"/>
    </xf>
    <xf numFmtId="0" fontId="4" fillId="0" borderId="7" xfId="0" applyFont="1" applyBorder="1" applyAlignment="1">
      <alignment vertical="top"/>
    </xf>
    <xf numFmtId="0" fontId="21" fillId="0" borderId="0" xfId="0" applyFont="1" applyAlignment="1">
      <alignment vertical="center" wrapText="1"/>
    </xf>
    <xf numFmtId="0" fontId="21" fillId="0" borderId="0" xfId="0" applyFont="1"/>
    <xf numFmtId="0" fontId="9" fillId="2" borderId="1" xfId="0" applyFont="1" applyFill="1" applyBorder="1" applyAlignment="1">
      <alignment horizontal="left" vertical="top"/>
    </xf>
    <xf numFmtId="0" fontId="19" fillId="0" borderId="1" xfId="0" applyFont="1" applyBorder="1" applyAlignment="1">
      <alignment horizontal="center" vertical="top"/>
    </xf>
    <xf numFmtId="0" fontId="9" fillId="2" borderId="1" xfId="0" applyFont="1" applyFill="1" applyBorder="1" applyAlignment="1">
      <alignment horizontal="center" vertical="top"/>
    </xf>
    <xf numFmtId="0" fontId="3" fillId="0" borderId="1" xfId="0" applyFont="1" applyBorder="1"/>
    <xf numFmtId="0" fontId="3" fillId="0" borderId="1" xfId="0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22" fillId="0" borderId="1" xfId="0" applyFont="1" applyBorder="1" applyAlignment="1">
      <alignment horizontal="center"/>
    </xf>
    <xf numFmtId="0" fontId="22" fillId="0" borderId="0" xfId="0" applyFont="1" applyAlignment="1">
      <alignment horizontal="left"/>
    </xf>
    <xf numFmtId="0" fontId="3" fillId="0" borderId="0" xfId="0" applyFont="1" applyAlignment="1">
      <alignment vertical="top"/>
    </xf>
    <xf numFmtId="0" fontId="3" fillId="0" borderId="0" xfId="0" applyFont="1"/>
    <xf numFmtId="0" fontId="5" fillId="0" borderId="0" xfId="0" applyFont="1" applyAlignment="1">
      <alignment vertical="top"/>
    </xf>
    <xf numFmtId="0" fontId="22" fillId="0" borderId="0" xfId="0" applyFont="1" applyAlignment="1">
      <alignment horizontal="left" vertical="top"/>
    </xf>
    <xf numFmtId="0" fontId="21" fillId="0" borderId="0" xfId="0" applyFont="1" applyAlignment="1">
      <alignment horizontal="left" vertical="top"/>
    </xf>
    <xf numFmtId="0" fontId="21" fillId="0" borderId="0" xfId="0" applyFont="1" applyAlignment="1">
      <alignment vertical="top"/>
    </xf>
    <xf numFmtId="0" fontId="2" fillId="0" borderId="1" xfId="0" applyFont="1" applyBorder="1" applyAlignment="1">
      <alignment horizontal="center" vertical="top"/>
    </xf>
    <xf numFmtId="15" fontId="2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top"/>
    </xf>
    <xf numFmtId="0" fontId="2" fillId="0" borderId="0" xfId="0" applyFont="1" applyAlignment="1">
      <alignment vertical="top"/>
    </xf>
    <xf numFmtId="0" fontId="24" fillId="0" borderId="0" xfId="0" applyFont="1"/>
    <xf numFmtId="0" fontId="9" fillId="0" borderId="0" xfId="0" applyFont="1" applyAlignment="1">
      <alignment horizontal="center" vertical="top"/>
    </xf>
    <xf numFmtId="0" fontId="24" fillId="0" borderId="0" xfId="0" applyFont="1" applyAlignment="1">
      <alignment horizontal="center" vertical="top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center" vertical="top"/>
    </xf>
    <xf numFmtId="0" fontId="22" fillId="0" borderId="1" xfId="0" applyFont="1" applyBorder="1" applyAlignment="1">
      <alignment horizontal="center" vertical="top"/>
    </xf>
    <xf numFmtId="0" fontId="9" fillId="2" borderId="1" xfId="0" applyFont="1" applyFill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4" fillId="0" borderId="1" xfId="0" applyFont="1" applyBorder="1" applyAlignment="1">
      <alignment vertical="top"/>
    </xf>
    <xf numFmtId="0" fontId="25" fillId="0" borderId="0" xfId="0" applyFont="1"/>
    <xf numFmtId="0" fontId="24" fillId="0" borderId="0" xfId="0" applyFont="1" applyAlignment="1">
      <alignment horizontal="left"/>
    </xf>
    <xf numFmtId="0" fontId="9" fillId="0" borderId="0" xfId="0" applyFont="1" applyAlignment="1">
      <alignment vertical="top"/>
    </xf>
    <xf numFmtId="15" fontId="2" fillId="0" borderId="1" xfId="0" applyNumberFormat="1" applyFont="1" applyBorder="1" applyAlignment="1">
      <alignment horizontal="center" vertical="top"/>
    </xf>
    <xf numFmtId="165" fontId="3" fillId="0" borderId="1" xfId="0" applyNumberFormat="1" applyFont="1" applyBorder="1"/>
    <xf numFmtId="165" fontId="3" fillId="0" borderId="1" xfId="0" applyNumberFormat="1" applyFont="1" applyBorder="1" applyAlignment="1">
      <alignment horizontal="left"/>
    </xf>
    <xf numFmtId="165" fontId="5" fillId="0" borderId="1" xfId="0" applyNumberFormat="1" applyFont="1" applyBorder="1" applyAlignment="1">
      <alignment horizontal="left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15" fontId="1" fillId="0" borderId="1" xfId="0" quotePrefix="1" applyNumberFormat="1" applyFont="1" applyBorder="1" applyAlignment="1">
      <alignment horizontal="left" vertical="top"/>
    </xf>
    <xf numFmtId="0" fontId="29" fillId="0" borderId="1" xfId="0" applyFont="1" applyBorder="1" applyAlignment="1">
      <alignment vertical="center" wrapText="1"/>
    </xf>
    <xf numFmtId="0" fontId="21" fillId="0" borderId="1" xfId="0" applyFont="1" applyBorder="1" applyAlignment="1">
      <alignment vertical="center" wrapText="1"/>
    </xf>
    <xf numFmtId="0" fontId="0" fillId="0" borderId="0" xfId="0" applyAlignment="1">
      <alignment horizontal="left" vertical="top"/>
    </xf>
    <xf numFmtId="3" fontId="1" fillId="7" borderId="1" xfId="0" applyNumberFormat="1" applyFont="1" applyFill="1" applyBorder="1" applyAlignment="1">
      <alignment horizontal="center" vertical="top"/>
    </xf>
    <xf numFmtId="3" fontId="1" fillId="0" borderId="1" xfId="0" applyNumberFormat="1" applyFont="1" applyBorder="1" applyAlignment="1">
      <alignment horizontal="center" vertical="top"/>
    </xf>
    <xf numFmtId="3" fontId="1" fillId="0" borderId="1" xfId="0" applyNumberFormat="1" applyFont="1" applyBorder="1" applyAlignment="1">
      <alignment horizontal="center"/>
    </xf>
    <xf numFmtId="0" fontId="22" fillId="0" borderId="1" xfId="0" applyFont="1" applyBorder="1" applyAlignment="1">
      <alignment horizontal="left" vertical="top"/>
    </xf>
    <xf numFmtId="0" fontId="22" fillId="0" borderId="1" xfId="0" applyFont="1" applyBorder="1"/>
    <xf numFmtId="0" fontId="29" fillId="0" borderId="17" xfId="0" applyFont="1" applyBorder="1" applyAlignment="1">
      <alignment vertical="center" wrapText="1"/>
    </xf>
    <xf numFmtId="0" fontId="26" fillId="0" borderId="16" xfId="0" applyFont="1" applyBorder="1" applyAlignment="1">
      <alignment horizontal="center" vertical="top"/>
    </xf>
    <xf numFmtId="0" fontId="26" fillId="0" borderId="0" xfId="0" applyFont="1" applyAlignment="1">
      <alignment horizontal="center" vertical="top"/>
    </xf>
    <xf numFmtId="0" fontId="23" fillId="0" borderId="0" xfId="0" applyFont="1" applyAlignment="1">
      <alignment horizontal="left" vertical="top" wrapText="1"/>
    </xf>
    <xf numFmtId="0" fontId="5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1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17" fillId="0" borderId="0" xfId="0" applyFont="1" applyAlignment="1">
      <alignment horizontal="center" vertical="top"/>
    </xf>
    <xf numFmtId="0" fontId="27" fillId="0" borderId="1" xfId="34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1" fillId="0" borderId="8" xfId="0" applyFont="1" applyBorder="1" applyAlignment="1">
      <alignment horizontal="center" vertical="top"/>
    </xf>
    <xf numFmtId="0" fontId="4" fillId="0" borderId="8" xfId="0" applyFont="1" applyBorder="1" applyAlignment="1">
      <alignment horizontal="center" vertical="top"/>
    </xf>
    <xf numFmtId="0" fontId="4" fillId="0" borderId="9" xfId="0" applyFont="1" applyBorder="1" applyAlignment="1">
      <alignment horizontal="center" vertical="top"/>
    </xf>
    <xf numFmtId="0" fontId="28" fillId="0" borderId="0" xfId="0" applyFont="1" applyAlignment="1">
      <alignment horizontal="center" vertical="top" wrapText="1"/>
    </xf>
    <xf numFmtId="0" fontId="9" fillId="0" borderId="14" xfId="0" applyFont="1" applyBorder="1" applyAlignment="1">
      <alignment horizontal="center" vertical="top" wrapText="1"/>
    </xf>
    <xf numFmtId="0" fontId="9" fillId="0" borderId="15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 wrapText="1"/>
    </xf>
    <xf numFmtId="0" fontId="9" fillId="0" borderId="10" xfId="0" applyFont="1" applyBorder="1" applyAlignment="1">
      <alignment horizontal="center" vertical="top" wrapText="1"/>
    </xf>
    <xf numFmtId="0" fontId="9" fillId="2" borderId="2" xfId="0" applyFont="1" applyFill="1" applyBorder="1" applyAlignment="1">
      <alignment horizontal="center" vertical="top"/>
    </xf>
    <xf numFmtId="0" fontId="9" fillId="2" borderId="3" xfId="0" applyFont="1" applyFill="1" applyBorder="1" applyAlignment="1">
      <alignment horizontal="center" vertical="top"/>
    </xf>
    <xf numFmtId="0" fontId="9" fillId="2" borderId="2" xfId="0" applyFont="1" applyFill="1" applyBorder="1" applyAlignment="1">
      <alignment horizontal="center" vertical="top" wrapText="1"/>
    </xf>
    <xf numFmtId="0" fontId="9" fillId="2" borderId="3" xfId="0" applyFont="1" applyFill="1" applyBorder="1" applyAlignment="1">
      <alignment horizontal="center" vertical="top" wrapText="1"/>
    </xf>
    <xf numFmtId="49" fontId="9" fillId="2" borderId="2" xfId="0" applyNumberFormat="1" applyFont="1" applyFill="1" applyBorder="1" applyAlignment="1">
      <alignment horizontal="center" vertical="top" wrapText="1"/>
    </xf>
    <xf numFmtId="49" fontId="9" fillId="2" borderId="3" xfId="0" applyNumberFormat="1" applyFont="1" applyFill="1" applyBorder="1" applyAlignment="1">
      <alignment horizontal="center" vertical="top" wrapText="1"/>
    </xf>
    <xf numFmtId="0" fontId="9" fillId="2" borderId="12" xfId="0" applyFont="1" applyFill="1" applyBorder="1" applyAlignment="1">
      <alignment horizontal="center" vertical="top" wrapText="1"/>
    </xf>
    <xf numFmtId="0" fontId="9" fillId="2" borderId="13" xfId="0" applyFont="1" applyFill="1" applyBorder="1" applyAlignment="1">
      <alignment horizontal="center" vertical="top" wrapText="1"/>
    </xf>
    <xf numFmtId="0" fontId="9" fillId="0" borderId="11" xfId="0" applyFont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vertical="top"/>
    </xf>
  </cellXfs>
  <cellStyles count="35">
    <cellStyle name="Hyperlink" xfId="34" builtinId="8"/>
    <cellStyle name="Normal" xfId="0" builtinId="0"/>
    <cellStyle name="Normal 10" xfId="1" xr:uid="{00000000-0005-0000-0000-000001000000}"/>
    <cellStyle name="Normal 11" xfId="2" xr:uid="{00000000-0005-0000-0000-000002000000}"/>
    <cellStyle name="Normal 14" xfId="3" xr:uid="{00000000-0005-0000-0000-000003000000}"/>
    <cellStyle name="Normal 15" xfId="4" xr:uid="{00000000-0005-0000-0000-000004000000}"/>
    <cellStyle name="Normal 17" xfId="5" xr:uid="{00000000-0005-0000-0000-000005000000}"/>
    <cellStyle name="Normal 19" xfId="6" xr:uid="{00000000-0005-0000-0000-000006000000}"/>
    <cellStyle name="Normal 2" xfId="7" xr:uid="{00000000-0005-0000-0000-000007000000}"/>
    <cellStyle name="Normal 2 2" xfId="8" xr:uid="{00000000-0005-0000-0000-000008000000}"/>
    <cellStyle name="Normal 2 3" xfId="9" xr:uid="{00000000-0005-0000-0000-000009000000}"/>
    <cellStyle name="Normal 2 4" xfId="10" xr:uid="{00000000-0005-0000-0000-00000A000000}"/>
    <cellStyle name="Normal 2 5" xfId="11" xr:uid="{00000000-0005-0000-0000-00000B000000}"/>
    <cellStyle name="Normal 2 6" xfId="12" xr:uid="{00000000-0005-0000-0000-00000C000000}"/>
    <cellStyle name="Normal 2 7" xfId="13" xr:uid="{00000000-0005-0000-0000-00000D000000}"/>
    <cellStyle name="Normal 2 8" xfId="14" xr:uid="{00000000-0005-0000-0000-00000E000000}"/>
    <cellStyle name="Normal 21" xfId="15" xr:uid="{00000000-0005-0000-0000-00000F000000}"/>
    <cellStyle name="Normal 22" xfId="16" xr:uid="{00000000-0005-0000-0000-000010000000}"/>
    <cellStyle name="Normal 24" xfId="17" xr:uid="{00000000-0005-0000-0000-000011000000}"/>
    <cellStyle name="Normal 25" xfId="18" xr:uid="{00000000-0005-0000-0000-000012000000}"/>
    <cellStyle name="Normal 27" xfId="19" xr:uid="{00000000-0005-0000-0000-000013000000}"/>
    <cellStyle name="Normal 3" xfId="20" xr:uid="{00000000-0005-0000-0000-000014000000}"/>
    <cellStyle name="Normal 3 2" xfId="21" xr:uid="{00000000-0005-0000-0000-000015000000}"/>
    <cellStyle name="Normal 3 5" xfId="22" xr:uid="{00000000-0005-0000-0000-000016000000}"/>
    <cellStyle name="Normal 3 6" xfId="23" xr:uid="{00000000-0005-0000-0000-000017000000}"/>
    <cellStyle name="Normal 4" xfId="24" xr:uid="{00000000-0005-0000-0000-000018000000}"/>
    <cellStyle name="Normal 4 2" xfId="25" xr:uid="{00000000-0005-0000-0000-000019000000}"/>
    <cellStyle name="Normal 5" xfId="26" xr:uid="{00000000-0005-0000-0000-00001A000000}"/>
    <cellStyle name="Normal 6" xfId="27" xr:uid="{00000000-0005-0000-0000-00001B000000}"/>
    <cellStyle name="Normal 7" xfId="28" xr:uid="{00000000-0005-0000-0000-00001C000000}"/>
    <cellStyle name="Normal 8" xfId="29" xr:uid="{00000000-0005-0000-0000-00001D000000}"/>
    <cellStyle name="Normal 9" xfId="30" xr:uid="{00000000-0005-0000-0000-00001E000000}"/>
    <cellStyle name="Normal 9 2" xfId="31" xr:uid="{00000000-0005-0000-0000-00001F000000}"/>
    <cellStyle name="Normal 9 5" xfId="32" xr:uid="{00000000-0005-0000-0000-000020000000}"/>
    <cellStyle name="Normal 9 6" xfId="33" xr:uid="{00000000-0005-0000-0000-00002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N38"/>
  <sheetViews>
    <sheetView zoomScaleNormal="100" workbookViewId="0">
      <selection activeCell="I19" sqref="I19"/>
    </sheetView>
  </sheetViews>
  <sheetFormatPr defaultColWidth="9.140625" defaultRowHeight="15" x14ac:dyDescent="0.25"/>
  <cols>
    <col min="1" max="1" width="21.28515625" style="2" customWidth="1"/>
    <col min="2" max="5" width="9.140625" style="2" customWidth="1"/>
    <col min="6" max="6" width="11.42578125" style="2" customWidth="1"/>
    <col min="7" max="16384" width="9.140625" style="2"/>
  </cols>
  <sheetData>
    <row r="1" spans="1:14" ht="26.25" x14ac:dyDescent="0.25">
      <c r="A1" s="201" t="s">
        <v>33</v>
      </c>
      <c r="B1" s="202"/>
      <c r="C1" s="202"/>
      <c r="D1" s="202"/>
      <c r="E1" s="202"/>
      <c r="F1" s="202"/>
      <c r="G1" s="202"/>
      <c r="H1" s="202"/>
      <c r="I1" s="202"/>
      <c r="J1" s="202"/>
      <c r="K1" s="1"/>
      <c r="L1" s="1"/>
      <c r="M1" s="1"/>
      <c r="N1" s="1"/>
    </row>
    <row r="2" spans="1:14" ht="15.75" x14ac:dyDescent="0.25">
      <c r="A2" s="204"/>
      <c r="B2" s="205"/>
      <c r="C2" s="205"/>
      <c r="D2" s="81"/>
      <c r="E2" s="81"/>
      <c r="F2" s="82"/>
      <c r="G2" s="81"/>
      <c r="H2" s="83"/>
      <c r="I2" s="81"/>
      <c r="J2" s="81"/>
      <c r="K2" s="1"/>
      <c r="L2" s="1"/>
      <c r="M2" s="1"/>
      <c r="N2" s="1"/>
    </row>
    <row r="3" spans="1:14" x14ac:dyDescent="0.25">
      <c r="A3" s="81"/>
      <c r="B3" s="81"/>
      <c r="C3" s="81"/>
      <c r="D3" s="81"/>
      <c r="E3" s="81"/>
      <c r="F3" s="81"/>
      <c r="G3" s="81"/>
      <c r="H3" s="81"/>
      <c r="I3" s="81"/>
      <c r="J3" s="81"/>
      <c r="K3" s="1"/>
      <c r="L3" s="1"/>
      <c r="M3" s="1"/>
      <c r="N3" s="1"/>
    </row>
    <row r="4" spans="1:14" ht="15.75" x14ac:dyDescent="0.25">
      <c r="A4" s="146" t="s">
        <v>0</v>
      </c>
      <c r="B4" s="206"/>
      <c r="C4" s="207"/>
      <c r="D4" s="207"/>
      <c r="E4" s="207"/>
      <c r="F4" s="147" t="s">
        <v>14</v>
      </c>
      <c r="G4" s="213"/>
      <c r="H4" s="214"/>
      <c r="I4" s="214"/>
      <c r="J4" s="215"/>
      <c r="K4" s="1"/>
      <c r="L4" s="1"/>
      <c r="M4" s="3"/>
      <c r="N4" s="1"/>
    </row>
    <row r="5" spans="1:14" ht="15.75" x14ac:dyDescent="0.25">
      <c r="A5" s="190" t="s">
        <v>34</v>
      </c>
      <c r="B5" s="210"/>
      <c r="C5" s="211"/>
      <c r="D5" s="211"/>
      <c r="E5" s="211"/>
      <c r="F5" s="211"/>
      <c r="G5" s="211"/>
      <c r="H5" s="211"/>
      <c r="I5" s="211"/>
      <c r="J5" s="212"/>
      <c r="K5" s="1"/>
      <c r="L5" s="1"/>
      <c r="M5" s="1"/>
      <c r="N5" s="1"/>
    </row>
    <row r="6" spans="1:14" ht="15.75" x14ac:dyDescent="0.25">
      <c r="A6" s="146" t="s">
        <v>12</v>
      </c>
      <c r="B6" s="209"/>
      <c r="C6" s="207"/>
      <c r="D6" s="207"/>
      <c r="E6" s="207"/>
      <c r="F6" s="207"/>
      <c r="G6" s="207"/>
      <c r="H6" s="207"/>
      <c r="I6" s="207"/>
      <c r="J6" s="207"/>
      <c r="K6" s="1"/>
      <c r="L6" s="1"/>
      <c r="M6" s="1"/>
      <c r="N6" s="1"/>
    </row>
    <row r="7" spans="1:14" ht="18.75" x14ac:dyDescent="0.25">
      <c r="A7" s="85"/>
      <c r="B7" s="208"/>
      <c r="C7" s="208"/>
      <c r="D7" s="208"/>
      <c r="E7" s="208"/>
      <c r="F7" s="85"/>
      <c r="G7" s="85"/>
      <c r="H7" s="85"/>
      <c r="I7" s="85"/>
      <c r="J7" s="85"/>
      <c r="K7" s="1"/>
      <c r="L7" s="1"/>
      <c r="M7" s="1"/>
      <c r="N7" s="1"/>
    </row>
    <row r="8" spans="1:14" ht="18.75" customHeight="1" x14ac:dyDescent="0.25">
      <c r="A8" s="189" t="s">
        <v>13</v>
      </c>
      <c r="B8" s="195">
        <f>SUM(B9:B11)</f>
        <v>0</v>
      </c>
      <c r="C8" s="86"/>
      <c r="D8" s="203" t="s">
        <v>15</v>
      </c>
      <c r="E8" s="203"/>
      <c r="F8" s="203"/>
      <c r="G8" s="203"/>
      <c r="H8" s="203"/>
      <c r="I8" s="203"/>
      <c r="J8" s="203"/>
      <c r="K8" s="1"/>
      <c r="L8" s="1"/>
      <c r="M8" s="1"/>
      <c r="N8" s="1"/>
    </row>
    <row r="9" spans="1:14" ht="18.75" x14ac:dyDescent="0.25">
      <c r="A9" s="191" t="s">
        <v>163</v>
      </c>
      <c r="B9" s="196">
        <f>'February 2023'!R1</f>
        <v>0</v>
      </c>
      <c r="C9" s="85"/>
      <c r="D9" s="203"/>
      <c r="E9" s="203"/>
      <c r="F9" s="203"/>
      <c r="G9" s="203"/>
      <c r="H9" s="203"/>
      <c r="I9" s="203"/>
      <c r="J9" s="203"/>
      <c r="K9" s="1"/>
      <c r="L9" s="1"/>
      <c r="M9" s="1"/>
      <c r="N9" s="1"/>
    </row>
    <row r="10" spans="1:14" ht="18.75" x14ac:dyDescent="0.25">
      <c r="A10" s="191" t="s">
        <v>164</v>
      </c>
      <c r="B10" s="196">
        <f>'May 2023'!P1</f>
        <v>0</v>
      </c>
      <c r="C10" s="86"/>
      <c r="D10" s="203"/>
      <c r="E10" s="203"/>
      <c r="F10" s="203"/>
      <c r="G10" s="203"/>
      <c r="H10" s="203"/>
      <c r="I10" s="203"/>
      <c r="J10" s="203"/>
      <c r="K10" s="1"/>
      <c r="L10" s="1"/>
      <c r="M10" s="1"/>
      <c r="N10" s="1"/>
    </row>
    <row r="11" spans="1:14" ht="18.75" x14ac:dyDescent="0.25">
      <c r="A11" s="191" t="s">
        <v>165</v>
      </c>
      <c r="B11" s="196">
        <f>'August 2023'!R1</f>
        <v>0</v>
      </c>
      <c r="C11" s="86"/>
      <c r="D11" s="203"/>
      <c r="E11" s="203"/>
      <c r="F11" s="203"/>
      <c r="G11" s="203"/>
      <c r="H11" s="203"/>
      <c r="I11" s="203"/>
      <c r="J11" s="203"/>
      <c r="K11" s="1"/>
      <c r="L11" s="1"/>
      <c r="M11" s="1"/>
      <c r="N11" s="1"/>
    </row>
    <row r="12" spans="1:14" ht="18.75" x14ac:dyDescent="0.25">
      <c r="A12" s="191" t="s">
        <v>166</v>
      </c>
      <c r="B12" s="197">
        <f>'October 2023'!R1</f>
        <v>0</v>
      </c>
      <c r="C12" s="86"/>
      <c r="D12" s="85"/>
      <c r="E12" s="85"/>
      <c r="F12" s="85"/>
      <c r="G12" s="85"/>
      <c r="H12" s="85"/>
      <c r="I12" s="85"/>
      <c r="J12" s="85"/>
      <c r="K12" s="1"/>
      <c r="L12" s="1"/>
      <c r="M12" s="1"/>
      <c r="N12" s="1"/>
    </row>
    <row r="13" spans="1:14" ht="18.75" x14ac:dyDescent="0.25">
      <c r="A13" s="85"/>
      <c r="B13" s="85"/>
      <c r="C13" s="19"/>
      <c r="D13" s="162"/>
      <c r="E13" s="162"/>
      <c r="F13" s="162"/>
      <c r="G13" s="162"/>
      <c r="H13" s="84"/>
      <c r="I13" s="81"/>
      <c r="J13" s="81"/>
      <c r="K13" s="1"/>
      <c r="L13" s="1"/>
      <c r="M13" s="1"/>
      <c r="N13" s="1"/>
    </row>
    <row r="14" spans="1:14" ht="15.75" customHeight="1" x14ac:dyDescent="0.25">
      <c r="A14" s="163" t="s">
        <v>173</v>
      </c>
      <c r="B14" s="163"/>
      <c r="C14" s="163"/>
      <c r="D14" s="163"/>
      <c r="E14" s="163"/>
      <c r="F14" s="163"/>
      <c r="G14" s="163"/>
      <c r="H14" s="163"/>
      <c r="I14" s="81"/>
      <c r="J14" s="81"/>
      <c r="K14" s="1"/>
      <c r="L14" s="1"/>
      <c r="M14" s="1"/>
      <c r="N14" s="1"/>
    </row>
    <row r="15" spans="1:14" ht="15.75" customHeight="1" x14ac:dyDescent="0.25">
      <c r="A15" s="163" t="s">
        <v>35</v>
      </c>
      <c r="B15" s="163"/>
      <c r="C15" s="163"/>
      <c r="D15" s="163"/>
      <c r="E15" s="163"/>
      <c r="F15" s="163"/>
      <c r="G15" s="163"/>
      <c r="H15" s="163"/>
      <c r="I15" s="1"/>
      <c r="J15" s="1"/>
      <c r="K15" s="1"/>
      <c r="L15" s="1"/>
      <c r="M15" s="1"/>
      <c r="N15" s="1"/>
    </row>
    <row r="16" spans="1:14" ht="15.75" customHeight="1" x14ac:dyDescent="0.25">
      <c r="B16" s="163"/>
      <c r="C16" s="163"/>
      <c r="D16" s="163"/>
      <c r="E16" s="163"/>
      <c r="F16" s="163"/>
      <c r="G16" s="163"/>
      <c r="H16" s="163"/>
      <c r="I16" s="1"/>
      <c r="J16" s="1"/>
      <c r="K16" s="1"/>
      <c r="L16" s="1"/>
      <c r="M16" s="1"/>
      <c r="N16" s="1"/>
    </row>
    <row r="17" spans="1:14" ht="15.75" customHeight="1" x14ac:dyDescent="0.25">
      <c r="A17" s="163"/>
      <c r="B17" s="163"/>
      <c r="C17" s="163"/>
      <c r="D17" s="163"/>
      <c r="E17" s="163"/>
      <c r="F17" s="163"/>
      <c r="G17" s="163"/>
      <c r="H17" s="163"/>
      <c r="I17" s="4"/>
      <c r="J17" s="1"/>
      <c r="K17" s="1"/>
      <c r="L17" s="1"/>
      <c r="M17" s="1"/>
      <c r="N17" s="1"/>
    </row>
    <row r="18" spans="1:14" ht="15.75" customHeight="1" x14ac:dyDescent="0.25">
      <c r="A18" s="163"/>
      <c r="B18" s="163"/>
      <c r="C18" s="163"/>
      <c r="D18" s="163"/>
      <c r="E18" s="163"/>
      <c r="F18" s="163"/>
      <c r="G18" s="163"/>
      <c r="H18" s="163"/>
      <c r="I18" s="4"/>
      <c r="J18" s="1"/>
      <c r="K18" s="1"/>
      <c r="L18" s="1"/>
      <c r="M18" s="1"/>
      <c r="N18" s="1"/>
    </row>
    <row r="19" spans="1:14" ht="15.75" customHeight="1" x14ac:dyDescent="0.25">
      <c r="A19" s="163"/>
      <c r="B19" s="163"/>
      <c r="C19" s="163"/>
      <c r="D19" s="163"/>
      <c r="E19" s="163"/>
      <c r="F19" s="163"/>
      <c r="G19" s="163"/>
      <c r="H19" s="163"/>
      <c r="I19" s="4"/>
      <c r="J19" s="1"/>
      <c r="K19" s="1"/>
      <c r="L19" s="1"/>
      <c r="M19" s="1"/>
      <c r="N19" s="1"/>
    </row>
    <row r="20" spans="1:14" ht="15.75" customHeight="1" x14ac:dyDescent="0.25">
      <c r="A20" s="164"/>
      <c r="B20" s="164"/>
      <c r="C20" s="164"/>
      <c r="D20" s="164"/>
      <c r="E20" s="164"/>
      <c r="F20" s="164"/>
      <c r="G20" s="164"/>
      <c r="H20" s="164"/>
      <c r="I20" s="4"/>
      <c r="J20" s="1"/>
      <c r="K20" s="1"/>
      <c r="L20" s="1"/>
      <c r="M20" s="1"/>
      <c r="N20" s="1"/>
    </row>
    <row r="21" spans="1:14" ht="15.75" customHeight="1" x14ac:dyDescent="0.25">
      <c r="A21" s="164"/>
      <c r="B21" s="164"/>
      <c r="C21" s="164"/>
      <c r="D21" s="164"/>
      <c r="E21" s="164"/>
      <c r="F21" s="164"/>
      <c r="G21" s="164"/>
      <c r="H21" s="164"/>
      <c r="J21" s="148"/>
      <c r="K21" s="148"/>
      <c r="L21" s="1"/>
      <c r="M21" s="1"/>
      <c r="N21" s="1"/>
    </row>
    <row r="22" spans="1:14" ht="15.7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48"/>
      <c r="J22" s="148"/>
      <c r="K22" s="148"/>
      <c r="L22" s="1"/>
      <c r="N22" s="1"/>
    </row>
    <row r="23" spans="1:14" ht="1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49"/>
      <c r="J23" s="148"/>
      <c r="K23" s="148"/>
      <c r="L23" s="1"/>
      <c r="M23" s="1"/>
      <c r="N23" s="1"/>
    </row>
    <row r="24" spans="1:14" ht="15" customHeight="1" x14ac:dyDescent="0.25">
      <c r="A24" s="164"/>
      <c r="B24" s="164"/>
      <c r="C24" s="164"/>
      <c r="D24" s="164"/>
      <c r="E24" s="164"/>
      <c r="F24" s="164"/>
      <c r="G24" s="164"/>
      <c r="H24" s="164"/>
      <c r="I24" s="148"/>
      <c r="J24" s="148"/>
      <c r="K24" s="148"/>
      <c r="L24" s="1"/>
      <c r="M24" s="1"/>
      <c r="N24" s="1"/>
    </row>
    <row r="25" spans="1:14" ht="15" customHeight="1" x14ac:dyDescent="0.25">
      <c r="A25" s="164"/>
      <c r="B25" s="164"/>
      <c r="C25" s="164"/>
      <c r="D25" s="164"/>
      <c r="E25" s="164"/>
      <c r="F25" s="164"/>
      <c r="G25" s="164"/>
      <c r="H25" s="164"/>
      <c r="I25" s="148"/>
      <c r="J25" s="148"/>
      <c r="K25" s="148"/>
      <c r="L25" s="1"/>
      <c r="M25" s="1"/>
      <c r="N25" s="1"/>
    </row>
    <row r="26" spans="1:14" ht="15.75" customHeight="1" x14ac:dyDescent="0.25">
      <c r="A26" s="88"/>
      <c r="B26" s="165"/>
      <c r="C26" s="165"/>
      <c r="D26" s="165"/>
      <c r="E26" s="165"/>
      <c r="F26" s="165"/>
      <c r="G26" s="165"/>
      <c r="H26" s="165"/>
      <c r="I26" s="148"/>
      <c r="J26" s="148"/>
      <c r="K26" s="148"/>
      <c r="L26" s="1"/>
      <c r="M26" s="1"/>
      <c r="N26" s="1"/>
    </row>
    <row r="27" spans="1:14" ht="15.75" x14ac:dyDescent="0.25">
      <c r="A27" s="88"/>
      <c r="B27" s="88"/>
      <c r="C27" s="88"/>
      <c r="D27" s="88"/>
      <c r="E27" s="88"/>
      <c r="F27" s="88"/>
      <c r="G27" s="88"/>
      <c r="H27" s="88"/>
    </row>
    <row r="28" spans="1:14" ht="15" customHeight="1" x14ac:dyDescent="0.25">
      <c r="A28" s="163"/>
      <c r="B28" s="163"/>
      <c r="C28" s="163"/>
      <c r="D28" s="163"/>
      <c r="E28" s="163"/>
      <c r="F28" s="163"/>
      <c r="G28" s="163"/>
      <c r="H28" s="163"/>
      <c r="J28" s="87"/>
      <c r="K28"/>
    </row>
    <row r="29" spans="1:14" ht="15" customHeight="1" x14ac:dyDescent="0.25">
      <c r="A29" s="163"/>
      <c r="B29" s="163"/>
      <c r="C29" s="163"/>
      <c r="D29" s="163"/>
      <c r="E29" s="163"/>
      <c r="F29" s="163"/>
      <c r="G29" s="163"/>
      <c r="H29" s="163"/>
      <c r="J29" s="88"/>
      <c r="K29" s="88"/>
    </row>
    <row r="30" spans="1:14" ht="15" customHeight="1" x14ac:dyDescent="0.25">
      <c r="A30" s="163"/>
      <c r="B30" s="163"/>
      <c r="C30" s="163"/>
      <c r="D30" s="163"/>
      <c r="E30" s="163"/>
      <c r="F30" s="163"/>
      <c r="G30" s="163"/>
      <c r="H30" s="163"/>
    </row>
    <row r="31" spans="1:14" ht="15" customHeight="1" x14ac:dyDescent="0.25">
      <c r="A31" s="164"/>
      <c r="B31" s="164"/>
      <c r="C31" s="164"/>
      <c r="D31" s="164"/>
      <c r="E31" s="164"/>
      <c r="F31" s="164"/>
      <c r="G31" s="164"/>
      <c r="H31" s="164"/>
    </row>
    <row r="32" spans="1:14" ht="15.75" customHeight="1" x14ac:dyDescent="0.25">
      <c r="A32" s="164"/>
      <c r="B32" s="164"/>
      <c r="C32" s="164"/>
      <c r="D32" s="164"/>
      <c r="E32" s="164"/>
      <c r="F32" s="164"/>
      <c r="G32" s="164"/>
      <c r="H32" s="164"/>
    </row>
    <row r="33" spans="1:8" ht="15.75" customHeight="1" x14ac:dyDescent="0.25">
      <c r="A33" s="164"/>
      <c r="B33" s="164"/>
      <c r="C33" s="164"/>
      <c r="D33" s="164"/>
      <c r="E33" s="164"/>
      <c r="F33" s="164"/>
      <c r="G33" s="164"/>
      <c r="H33" s="164"/>
    </row>
    <row r="34" spans="1:8" ht="15.75" x14ac:dyDescent="0.25">
      <c r="A34" s="164"/>
      <c r="B34" s="164"/>
      <c r="C34" s="164"/>
      <c r="D34" s="164"/>
      <c r="E34" s="164"/>
      <c r="F34" s="164"/>
      <c r="G34" s="164"/>
      <c r="H34" s="164"/>
    </row>
    <row r="35" spans="1:8" ht="15" customHeight="1" x14ac:dyDescent="0.25">
      <c r="A35" s="164"/>
      <c r="B35" s="164"/>
      <c r="C35" s="164"/>
      <c r="D35" s="164"/>
      <c r="E35" s="164"/>
      <c r="F35" s="164"/>
      <c r="G35" s="164"/>
      <c r="H35" s="164"/>
    </row>
    <row r="36" spans="1:8" ht="15" customHeight="1" x14ac:dyDescent="0.25">
      <c r="A36" s="164"/>
      <c r="B36" s="164"/>
      <c r="C36" s="164"/>
      <c r="D36" s="164"/>
      <c r="E36" s="164"/>
      <c r="F36" s="164"/>
      <c r="G36" s="164"/>
      <c r="H36" s="164"/>
    </row>
    <row r="37" spans="1:8" ht="15.75" x14ac:dyDescent="0.25">
      <c r="A37" s="164"/>
      <c r="B37" s="164"/>
      <c r="C37" s="164"/>
      <c r="D37" s="164"/>
      <c r="E37" s="164"/>
      <c r="F37" s="164"/>
      <c r="G37" s="164"/>
      <c r="H37" s="164"/>
    </row>
    <row r="38" spans="1:8" ht="15.75" x14ac:dyDescent="0.25">
      <c r="A38" s="164"/>
      <c r="B38" s="164"/>
      <c r="C38" s="164"/>
      <c r="D38" s="164"/>
      <c r="E38" s="164"/>
      <c r="F38" s="164"/>
      <c r="G38" s="164"/>
      <c r="H38" s="164"/>
    </row>
  </sheetData>
  <mergeCells count="8">
    <mergeCell ref="A1:J1"/>
    <mergeCell ref="D8:J11"/>
    <mergeCell ref="A2:C2"/>
    <mergeCell ref="B4:E4"/>
    <mergeCell ref="B7:E7"/>
    <mergeCell ref="B6:J6"/>
    <mergeCell ref="B5:J5"/>
    <mergeCell ref="G4:J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B60AC-BB69-4D9A-85CF-7A0004ED0A2F}">
  <dimension ref="A1:B74"/>
  <sheetViews>
    <sheetView topLeftCell="A36" workbookViewId="0">
      <selection activeCell="A4" sqref="A4:B72"/>
    </sheetView>
  </sheetViews>
  <sheetFormatPr defaultRowHeight="15" x14ac:dyDescent="0.25"/>
  <cols>
    <col min="1" max="1" width="12.7109375" style="194" customWidth="1"/>
    <col min="2" max="2" width="61.5703125" customWidth="1"/>
  </cols>
  <sheetData>
    <row r="1" spans="1:2" ht="25.9" customHeight="1" x14ac:dyDescent="0.25">
      <c r="A1" s="216" t="s">
        <v>36</v>
      </c>
      <c r="B1" s="216"/>
    </row>
    <row r="2" spans="1:2" ht="25.9" customHeight="1" x14ac:dyDescent="0.25">
      <c r="A2" s="216"/>
      <c r="B2" s="216"/>
    </row>
    <row r="3" spans="1:2" ht="15.75" customHeight="1" x14ac:dyDescent="0.25"/>
    <row r="4" spans="1:2" ht="15.75" customHeight="1" x14ac:dyDescent="0.25">
      <c r="A4" s="198" t="s">
        <v>167</v>
      </c>
      <c r="B4" s="199" t="s">
        <v>168</v>
      </c>
    </row>
    <row r="5" spans="1:2" ht="15.75" customHeight="1" x14ac:dyDescent="0.25">
      <c r="A5" s="192" t="s">
        <v>121</v>
      </c>
      <c r="B5" s="192" t="s">
        <v>37</v>
      </c>
    </row>
    <row r="6" spans="1:2" ht="15.75" customHeight="1" x14ac:dyDescent="0.25">
      <c r="A6" s="192" t="s">
        <v>38</v>
      </c>
      <c r="B6" s="192" t="s">
        <v>39</v>
      </c>
    </row>
    <row r="7" spans="1:2" ht="15.75" customHeight="1" x14ac:dyDescent="0.25">
      <c r="A7" s="192" t="s">
        <v>40</v>
      </c>
      <c r="B7" s="192" t="s">
        <v>41</v>
      </c>
    </row>
    <row r="8" spans="1:2" ht="15.75" customHeight="1" x14ac:dyDescent="0.25">
      <c r="A8" s="192" t="s">
        <v>113</v>
      </c>
      <c r="B8" s="192" t="s">
        <v>42</v>
      </c>
    </row>
    <row r="9" spans="1:2" ht="15.75" customHeight="1" x14ac:dyDescent="0.25">
      <c r="A9" s="192" t="s">
        <v>114</v>
      </c>
      <c r="B9" s="192" t="s">
        <v>43</v>
      </c>
    </row>
    <row r="10" spans="1:2" ht="15.75" customHeight="1" x14ac:dyDescent="0.25">
      <c r="A10" s="192" t="s">
        <v>115</v>
      </c>
      <c r="B10" s="192" t="s">
        <v>44</v>
      </c>
    </row>
    <row r="11" spans="1:2" ht="15.75" customHeight="1" x14ac:dyDescent="0.25">
      <c r="A11" s="192" t="s">
        <v>45</v>
      </c>
      <c r="B11" s="192" t="s">
        <v>46</v>
      </c>
    </row>
    <row r="12" spans="1:2" ht="15.75" customHeight="1" x14ac:dyDescent="0.25">
      <c r="A12" s="192" t="s">
        <v>47</v>
      </c>
      <c r="B12" s="192" t="s">
        <v>48</v>
      </c>
    </row>
    <row r="13" spans="1:2" ht="15.75" customHeight="1" x14ac:dyDescent="0.25">
      <c r="A13" s="192" t="s">
        <v>116</v>
      </c>
      <c r="B13" s="192" t="s">
        <v>49</v>
      </c>
    </row>
    <row r="14" spans="1:2" ht="15.75" customHeight="1" x14ac:dyDescent="0.25">
      <c r="A14" s="192" t="s">
        <v>117</v>
      </c>
      <c r="B14" s="192" t="s">
        <v>50</v>
      </c>
    </row>
    <row r="15" spans="1:2" ht="15.75" customHeight="1" x14ac:dyDescent="0.25">
      <c r="A15" s="200" t="s">
        <v>169</v>
      </c>
      <c r="B15" s="200" t="s">
        <v>170</v>
      </c>
    </row>
    <row r="16" spans="1:2" ht="15.75" customHeight="1" x14ac:dyDescent="0.25">
      <c r="A16" s="192" t="s">
        <v>119</v>
      </c>
      <c r="B16" s="192" t="s">
        <v>52</v>
      </c>
    </row>
    <row r="17" spans="1:2" ht="15.75" customHeight="1" x14ac:dyDescent="0.25">
      <c r="A17" s="192" t="s">
        <v>118</v>
      </c>
      <c r="B17" s="192" t="s">
        <v>51</v>
      </c>
    </row>
    <row r="18" spans="1:2" ht="15.75" customHeight="1" x14ac:dyDescent="0.25">
      <c r="A18" s="192" t="s">
        <v>120</v>
      </c>
      <c r="B18" s="192" t="s">
        <v>53</v>
      </c>
    </row>
    <row r="19" spans="1:2" ht="15.75" customHeight="1" x14ac:dyDescent="0.25">
      <c r="A19" s="192" t="s">
        <v>54</v>
      </c>
      <c r="B19" s="192" t="s">
        <v>55</v>
      </c>
    </row>
    <row r="20" spans="1:2" ht="15.75" customHeight="1" x14ac:dyDescent="0.25">
      <c r="A20" s="192" t="s">
        <v>54</v>
      </c>
      <c r="B20" s="192" t="s">
        <v>56</v>
      </c>
    </row>
    <row r="21" spans="1:2" ht="15.75" customHeight="1" x14ac:dyDescent="0.25">
      <c r="A21" s="192" t="s">
        <v>54</v>
      </c>
      <c r="B21" s="192" t="s">
        <v>57</v>
      </c>
    </row>
    <row r="22" spans="1:2" ht="15.75" customHeight="1" x14ac:dyDescent="0.25">
      <c r="A22" s="192" t="s">
        <v>54</v>
      </c>
      <c r="B22" s="192" t="s">
        <v>58</v>
      </c>
    </row>
    <row r="23" spans="1:2" ht="15.75" customHeight="1" x14ac:dyDescent="0.25">
      <c r="A23" s="192" t="s">
        <v>54</v>
      </c>
      <c r="B23" s="192" t="s">
        <v>59</v>
      </c>
    </row>
    <row r="24" spans="1:2" ht="15.75" customHeight="1" x14ac:dyDescent="0.25">
      <c r="A24" s="192" t="s">
        <v>54</v>
      </c>
      <c r="B24" s="192" t="s">
        <v>60</v>
      </c>
    </row>
    <row r="25" spans="1:2" ht="15.75" customHeight="1" x14ac:dyDescent="0.25">
      <c r="A25" s="192" t="s">
        <v>122</v>
      </c>
      <c r="B25" s="192" t="s">
        <v>61</v>
      </c>
    </row>
    <row r="26" spans="1:2" ht="15.75" customHeight="1" x14ac:dyDescent="0.25">
      <c r="A26" s="192" t="s">
        <v>123</v>
      </c>
      <c r="B26" s="192" t="s">
        <v>62</v>
      </c>
    </row>
    <row r="27" spans="1:2" ht="15.75" customHeight="1" x14ac:dyDescent="0.25">
      <c r="A27" s="192" t="s">
        <v>124</v>
      </c>
      <c r="B27" s="192" t="s">
        <v>63</v>
      </c>
    </row>
    <row r="28" spans="1:2" ht="15.75" customHeight="1" x14ac:dyDescent="0.25">
      <c r="A28" s="192" t="s">
        <v>125</v>
      </c>
      <c r="B28" s="192" t="s">
        <v>64</v>
      </c>
    </row>
    <row r="29" spans="1:2" ht="15.75" customHeight="1" x14ac:dyDescent="0.25">
      <c r="A29" s="192" t="s">
        <v>126</v>
      </c>
      <c r="B29" s="192" t="s">
        <v>65</v>
      </c>
    </row>
    <row r="30" spans="1:2" ht="15.75" customHeight="1" x14ac:dyDescent="0.25">
      <c r="A30" s="192" t="s">
        <v>127</v>
      </c>
      <c r="B30" s="192" t="s">
        <v>66</v>
      </c>
    </row>
    <row r="31" spans="1:2" ht="15.75" customHeight="1" x14ac:dyDescent="0.25">
      <c r="A31" s="192" t="s">
        <v>128</v>
      </c>
      <c r="B31" s="192" t="s">
        <v>67</v>
      </c>
    </row>
    <row r="32" spans="1:2" ht="15.75" customHeight="1" x14ac:dyDescent="0.25">
      <c r="A32" s="192" t="s">
        <v>129</v>
      </c>
      <c r="B32" s="192" t="s">
        <v>68</v>
      </c>
    </row>
    <row r="33" spans="1:2" ht="15.75" customHeight="1" x14ac:dyDescent="0.25">
      <c r="A33" s="192" t="s">
        <v>130</v>
      </c>
      <c r="B33" s="192" t="s">
        <v>69</v>
      </c>
    </row>
    <row r="34" spans="1:2" ht="15.75" customHeight="1" x14ac:dyDescent="0.25">
      <c r="A34" s="192" t="s">
        <v>131</v>
      </c>
      <c r="B34" s="192" t="s">
        <v>70</v>
      </c>
    </row>
    <row r="35" spans="1:2" ht="15.75" customHeight="1" x14ac:dyDescent="0.25">
      <c r="A35" s="192" t="s">
        <v>132</v>
      </c>
      <c r="B35" s="192" t="s">
        <v>71</v>
      </c>
    </row>
    <row r="36" spans="1:2" ht="15.75" customHeight="1" x14ac:dyDescent="0.25">
      <c r="A36" s="192" t="s">
        <v>133</v>
      </c>
      <c r="B36" s="192" t="s">
        <v>72</v>
      </c>
    </row>
    <row r="37" spans="1:2" ht="15.75" customHeight="1" x14ac:dyDescent="0.25">
      <c r="A37" s="192" t="s">
        <v>134</v>
      </c>
      <c r="B37" s="192" t="s">
        <v>73</v>
      </c>
    </row>
    <row r="38" spans="1:2" ht="15.75" customHeight="1" x14ac:dyDescent="0.25">
      <c r="A38" s="192" t="s">
        <v>74</v>
      </c>
      <c r="B38" s="192" t="s">
        <v>75</v>
      </c>
    </row>
    <row r="39" spans="1:2" ht="15.75" customHeight="1" x14ac:dyDescent="0.25">
      <c r="A39" s="192" t="s">
        <v>135</v>
      </c>
      <c r="B39" s="192" t="s">
        <v>76</v>
      </c>
    </row>
    <row r="40" spans="1:2" ht="15.75" customHeight="1" x14ac:dyDescent="0.25">
      <c r="A40" s="192" t="s">
        <v>77</v>
      </c>
      <c r="B40" s="192" t="s">
        <v>78</v>
      </c>
    </row>
    <row r="41" spans="1:2" ht="15.75" customHeight="1" x14ac:dyDescent="0.25">
      <c r="A41" s="192" t="s">
        <v>79</v>
      </c>
      <c r="B41" s="192" t="s">
        <v>80</v>
      </c>
    </row>
    <row r="42" spans="1:2" ht="15.75" customHeight="1" x14ac:dyDescent="0.25">
      <c r="A42" s="192" t="s">
        <v>136</v>
      </c>
      <c r="B42" s="192" t="s">
        <v>81</v>
      </c>
    </row>
    <row r="43" spans="1:2" ht="15.75" customHeight="1" x14ac:dyDescent="0.25">
      <c r="A43" s="192" t="s">
        <v>137</v>
      </c>
      <c r="B43" s="192" t="s">
        <v>82</v>
      </c>
    </row>
    <row r="44" spans="1:2" ht="15.75" customHeight="1" x14ac:dyDescent="0.25">
      <c r="A44" s="192" t="s">
        <v>138</v>
      </c>
      <c r="B44" s="192" t="s">
        <v>83</v>
      </c>
    </row>
    <row r="45" spans="1:2" ht="15.75" customHeight="1" x14ac:dyDescent="0.25">
      <c r="A45" s="192" t="s">
        <v>137</v>
      </c>
      <c r="B45" s="192" t="s">
        <v>84</v>
      </c>
    </row>
    <row r="46" spans="1:2" ht="15.75" customHeight="1" x14ac:dyDescent="0.25">
      <c r="A46" s="192" t="s">
        <v>139</v>
      </c>
      <c r="B46" s="192" t="s">
        <v>85</v>
      </c>
    </row>
    <row r="47" spans="1:2" ht="15.75" customHeight="1" x14ac:dyDescent="0.25">
      <c r="A47" s="192" t="s">
        <v>140</v>
      </c>
      <c r="B47" s="192" t="s">
        <v>86</v>
      </c>
    </row>
    <row r="48" spans="1:2" ht="15.75" customHeight="1" x14ac:dyDescent="0.25">
      <c r="A48" s="192" t="s">
        <v>141</v>
      </c>
      <c r="B48" s="192" t="s">
        <v>87</v>
      </c>
    </row>
    <row r="49" spans="1:2" ht="15.75" customHeight="1" x14ac:dyDescent="0.25">
      <c r="A49" s="192" t="s">
        <v>142</v>
      </c>
      <c r="B49" s="192" t="s">
        <v>88</v>
      </c>
    </row>
    <row r="50" spans="1:2" ht="15.75" customHeight="1" x14ac:dyDescent="0.25">
      <c r="A50" s="192" t="s">
        <v>143</v>
      </c>
      <c r="B50" s="192" t="s">
        <v>89</v>
      </c>
    </row>
    <row r="51" spans="1:2" ht="15.75" customHeight="1" x14ac:dyDescent="0.25">
      <c r="A51" s="192" t="s">
        <v>144</v>
      </c>
      <c r="B51" s="192" t="s">
        <v>90</v>
      </c>
    </row>
    <row r="52" spans="1:2" ht="15.75" customHeight="1" x14ac:dyDescent="0.25">
      <c r="A52" s="192" t="s">
        <v>145</v>
      </c>
      <c r="B52" s="192" t="s">
        <v>91</v>
      </c>
    </row>
    <row r="53" spans="1:2" ht="15.75" customHeight="1" x14ac:dyDescent="0.25">
      <c r="A53" s="192" t="s">
        <v>146</v>
      </c>
      <c r="B53" s="192" t="s">
        <v>92</v>
      </c>
    </row>
    <row r="54" spans="1:2" ht="15.75" customHeight="1" x14ac:dyDescent="0.25">
      <c r="A54" s="192" t="s">
        <v>147</v>
      </c>
      <c r="B54" s="192" t="s">
        <v>93</v>
      </c>
    </row>
    <row r="55" spans="1:2" ht="15.75" customHeight="1" x14ac:dyDescent="0.25">
      <c r="A55" s="192" t="s">
        <v>94</v>
      </c>
      <c r="B55" s="192" t="s">
        <v>171</v>
      </c>
    </row>
    <row r="56" spans="1:2" ht="15.75" customHeight="1" x14ac:dyDescent="0.25">
      <c r="A56" s="192" t="s">
        <v>148</v>
      </c>
      <c r="B56" s="192" t="s">
        <v>95</v>
      </c>
    </row>
    <row r="57" spans="1:2" ht="15.75" customHeight="1" x14ac:dyDescent="0.25">
      <c r="A57" s="192" t="s">
        <v>149</v>
      </c>
      <c r="B57" s="192" t="s">
        <v>96</v>
      </c>
    </row>
    <row r="58" spans="1:2" ht="15.75" customHeight="1" x14ac:dyDescent="0.25">
      <c r="A58" s="192" t="s">
        <v>150</v>
      </c>
      <c r="B58" s="192" t="s">
        <v>97</v>
      </c>
    </row>
    <row r="59" spans="1:2" ht="15.75" customHeight="1" x14ac:dyDescent="0.25">
      <c r="A59" s="192" t="s">
        <v>151</v>
      </c>
      <c r="B59" s="192" t="s">
        <v>98</v>
      </c>
    </row>
    <row r="60" spans="1:2" ht="15.75" customHeight="1" x14ac:dyDescent="0.25">
      <c r="A60" s="192" t="s">
        <v>152</v>
      </c>
      <c r="B60" s="192" t="s">
        <v>99</v>
      </c>
    </row>
    <row r="61" spans="1:2" ht="15.75" customHeight="1" x14ac:dyDescent="0.25">
      <c r="A61" s="192" t="s">
        <v>153</v>
      </c>
      <c r="B61" s="192" t="s">
        <v>100</v>
      </c>
    </row>
    <row r="62" spans="1:2" ht="15.75" customHeight="1" x14ac:dyDescent="0.25">
      <c r="A62" s="192" t="s">
        <v>154</v>
      </c>
      <c r="B62" s="192" t="s">
        <v>101</v>
      </c>
    </row>
    <row r="63" spans="1:2" ht="15.75" customHeight="1" x14ac:dyDescent="0.25">
      <c r="A63" s="192" t="s">
        <v>155</v>
      </c>
      <c r="B63" s="192" t="s">
        <v>102</v>
      </c>
    </row>
    <row r="64" spans="1:2" ht="15.75" customHeight="1" x14ac:dyDescent="0.25">
      <c r="A64" s="192" t="s">
        <v>156</v>
      </c>
      <c r="B64" s="192" t="s">
        <v>103</v>
      </c>
    </row>
    <row r="65" spans="1:2" ht="15.75" customHeight="1" x14ac:dyDescent="0.25">
      <c r="A65" s="192" t="s">
        <v>104</v>
      </c>
      <c r="B65" s="192" t="s">
        <v>105</v>
      </c>
    </row>
    <row r="66" spans="1:2" ht="15.75" customHeight="1" x14ac:dyDescent="0.25">
      <c r="A66" s="192" t="s">
        <v>157</v>
      </c>
      <c r="B66" s="192" t="s">
        <v>106</v>
      </c>
    </row>
    <row r="67" spans="1:2" ht="15.75" customHeight="1" x14ac:dyDescent="0.25">
      <c r="A67" s="192" t="s">
        <v>158</v>
      </c>
      <c r="B67" s="192" t="s">
        <v>107</v>
      </c>
    </row>
    <row r="68" spans="1:2" ht="15.75" customHeight="1" x14ac:dyDescent="0.25">
      <c r="A68" s="192" t="s">
        <v>159</v>
      </c>
      <c r="B68" s="192" t="s">
        <v>108</v>
      </c>
    </row>
    <row r="69" spans="1:2" ht="15.75" customHeight="1" x14ac:dyDescent="0.25">
      <c r="A69" s="192" t="s">
        <v>160</v>
      </c>
      <c r="B69" s="192" t="s">
        <v>109</v>
      </c>
    </row>
    <row r="70" spans="1:2" ht="15.75" customHeight="1" x14ac:dyDescent="0.25">
      <c r="A70" s="192" t="s">
        <v>161</v>
      </c>
      <c r="B70" s="192" t="s">
        <v>110</v>
      </c>
    </row>
    <row r="71" spans="1:2" ht="15.75" customHeight="1" x14ac:dyDescent="0.25">
      <c r="A71" s="192" t="s">
        <v>162</v>
      </c>
      <c r="B71" s="192" t="s">
        <v>111</v>
      </c>
    </row>
    <row r="72" spans="1:2" ht="15.75" customHeight="1" x14ac:dyDescent="0.25">
      <c r="A72" s="193" t="s">
        <v>112</v>
      </c>
      <c r="B72" s="193" t="s">
        <v>172</v>
      </c>
    </row>
    <row r="73" spans="1:2" ht="15.75" customHeight="1" x14ac:dyDescent="0.25"/>
    <row r="74" spans="1:2" ht="15.75" customHeight="1" x14ac:dyDescent="0.25"/>
  </sheetData>
  <mergeCells count="1">
    <mergeCell ref="A1:B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782EF-64D7-4DA9-BB97-D9E6BB31AD26}">
  <dimension ref="A1:V105"/>
  <sheetViews>
    <sheetView workbookViewId="0">
      <selection activeCell="F2" sqref="F2:K2"/>
    </sheetView>
  </sheetViews>
  <sheetFormatPr defaultRowHeight="15.75" x14ac:dyDescent="0.25"/>
  <cols>
    <col min="1" max="15" width="13.7109375" customWidth="1"/>
    <col min="17" max="18" width="13.7109375" customWidth="1"/>
    <col min="20" max="20" width="10" style="7" hidden="1" customWidth="1"/>
    <col min="21" max="21" width="9.140625" style="7" hidden="1" customWidth="1"/>
    <col min="22" max="22" width="0" hidden="1" customWidth="1"/>
  </cols>
  <sheetData>
    <row r="1" spans="1:22" ht="15.95" customHeight="1" thickBot="1" x14ac:dyDescent="0.3">
      <c r="A1" s="223" t="s">
        <v>1</v>
      </c>
      <c r="B1" s="223" t="s">
        <v>2</v>
      </c>
      <c r="C1" s="223" t="s">
        <v>0</v>
      </c>
      <c r="D1" s="225" t="s">
        <v>7</v>
      </c>
      <c r="E1" s="227" t="s">
        <v>26</v>
      </c>
      <c r="F1" s="230" t="s">
        <v>5</v>
      </c>
      <c r="G1" s="230"/>
      <c r="H1" s="230"/>
      <c r="I1" s="230" t="s">
        <v>30</v>
      </c>
      <c r="J1" s="230"/>
      <c r="K1" s="230"/>
      <c r="L1" s="217" t="s">
        <v>29</v>
      </c>
      <c r="M1" s="219" t="s">
        <v>20</v>
      </c>
      <c r="N1" s="219" t="s">
        <v>21</v>
      </c>
      <c r="O1" s="221" t="s">
        <v>23</v>
      </c>
      <c r="P1" s="10"/>
      <c r="Q1" s="150" t="s">
        <v>6</v>
      </c>
      <c r="R1" s="11">
        <f>SUM(R3+R4+R5)</f>
        <v>0</v>
      </c>
      <c r="S1" s="88"/>
      <c r="T1" s="171" t="s">
        <v>3</v>
      </c>
      <c r="U1" s="171" t="s">
        <v>4</v>
      </c>
      <c r="V1" s="172" t="s">
        <v>27</v>
      </c>
    </row>
    <row r="2" spans="1:22" ht="15.95" customHeight="1" x14ac:dyDescent="0.25">
      <c r="A2" s="219"/>
      <c r="B2" s="224"/>
      <c r="C2" s="224"/>
      <c r="D2" s="226"/>
      <c r="E2" s="228"/>
      <c r="F2" s="152" t="s">
        <v>174</v>
      </c>
      <c r="G2" s="152" t="s">
        <v>32</v>
      </c>
      <c r="H2" s="152" t="s">
        <v>31</v>
      </c>
      <c r="I2" s="152" t="s">
        <v>174</v>
      </c>
      <c r="J2" s="152" t="s">
        <v>8</v>
      </c>
      <c r="K2" s="152" t="s">
        <v>22</v>
      </c>
      <c r="L2" s="218"/>
      <c r="M2" s="229"/>
      <c r="N2" s="220"/>
      <c r="O2" s="222"/>
      <c r="P2" s="12"/>
      <c r="Q2" s="12"/>
      <c r="R2" s="12"/>
      <c r="S2" s="88"/>
      <c r="T2" s="6">
        <f>SUM(T3:T105)</f>
        <v>0</v>
      </c>
      <c r="U2" s="6">
        <f>SUM(U3:U105)</f>
        <v>0</v>
      </c>
      <c r="V2" s="6">
        <f>SUM(V3:V105)</f>
        <v>0</v>
      </c>
    </row>
    <row r="3" spans="1:22" x14ac:dyDescent="0.25">
      <c r="A3" s="182">
        <v>44972</v>
      </c>
      <c r="B3" s="153"/>
      <c r="C3" s="153"/>
      <c r="D3" s="183"/>
      <c r="E3" s="166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0"/>
      <c r="Q3" s="176" t="s">
        <v>11</v>
      </c>
      <c r="R3" s="166">
        <f>SUM(L3:L105)</f>
        <v>0</v>
      </c>
      <c r="S3" s="88"/>
      <c r="T3" s="7">
        <f>COUNTIF(E3,"SSB")</f>
        <v>0</v>
      </c>
      <c r="U3" s="7">
        <f>COUNTIF(E3,"CW")</f>
        <v>0</v>
      </c>
      <c r="V3" s="7">
        <f>COUNTIF(E3,"RTTY")</f>
        <v>0</v>
      </c>
    </row>
    <row r="4" spans="1:22" x14ac:dyDescent="0.25">
      <c r="A4" s="182">
        <v>44972</v>
      </c>
      <c r="B4" s="155"/>
      <c r="C4" s="156"/>
      <c r="D4" s="184"/>
      <c r="E4" s="166"/>
      <c r="F4" s="151"/>
      <c r="G4" s="151"/>
      <c r="H4" s="151"/>
      <c r="I4" s="154"/>
      <c r="J4" s="154"/>
      <c r="K4" s="154"/>
      <c r="L4" s="154"/>
      <c r="M4" s="154"/>
      <c r="N4" s="154"/>
      <c r="O4" s="154"/>
      <c r="P4" s="157"/>
      <c r="Q4" s="176" t="s">
        <v>17</v>
      </c>
      <c r="R4" s="166">
        <f>SUM(M3:M105)</f>
        <v>0</v>
      </c>
      <c r="S4" s="88"/>
      <c r="T4" s="7">
        <f t="shared" ref="T4:T67" si="0">COUNTIF(E4,"SSB")</f>
        <v>0</v>
      </c>
      <c r="U4" s="7">
        <f t="shared" ref="U4:U67" si="1">COUNTIF(E4,"CW")</f>
        <v>0</v>
      </c>
      <c r="V4" s="7">
        <f t="shared" ref="V4:V67" si="2">COUNTIF(E4,"RTTY")</f>
        <v>0</v>
      </c>
    </row>
    <row r="5" spans="1:22" x14ac:dyDescent="0.25">
      <c r="A5" s="182">
        <v>44972</v>
      </c>
      <c r="B5" s="155"/>
      <c r="C5" s="156"/>
      <c r="D5" s="184"/>
      <c r="E5" s="166"/>
      <c r="F5" s="151"/>
      <c r="G5" s="151"/>
      <c r="H5" s="151"/>
      <c r="I5" s="154"/>
      <c r="J5" s="154"/>
      <c r="K5" s="154"/>
      <c r="L5" s="154"/>
      <c r="M5" s="154"/>
      <c r="N5" s="154"/>
      <c r="O5" s="154"/>
      <c r="P5" s="157"/>
      <c r="Q5" s="177" t="s">
        <v>16</v>
      </c>
      <c r="R5" s="158">
        <f>SUM(N3:N105)</f>
        <v>0</v>
      </c>
      <c r="S5" s="88"/>
      <c r="T5" s="7">
        <f t="shared" si="0"/>
        <v>0</v>
      </c>
      <c r="U5" s="7">
        <f t="shared" si="1"/>
        <v>0</v>
      </c>
      <c r="V5" s="7">
        <f t="shared" si="2"/>
        <v>0</v>
      </c>
    </row>
    <row r="6" spans="1:22" x14ac:dyDescent="0.25">
      <c r="A6" s="182">
        <v>44972</v>
      </c>
      <c r="B6" s="155"/>
      <c r="C6" s="156"/>
      <c r="D6" s="184"/>
      <c r="E6" s="166"/>
      <c r="F6" s="151"/>
      <c r="G6" s="151"/>
      <c r="H6" s="151"/>
      <c r="I6" s="154"/>
      <c r="J6" s="154"/>
      <c r="K6" s="154"/>
      <c r="L6" s="154"/>
      <c r="M6" s="154"/>
      <c r="N6" s="154"/>
      <c r="O6" s="154"/>
      <c r="P6" s="157"/>
      <c r="Q6" s="170"/>
      <c r="R6" s="173"/>
      <c r="S6" s="88"/>
      <c r="T6" s="7">
        <f t="shared" si="0"/>
        <v>0</v>
      </c>
      <c r="U6" s="7">
        <f t="shared" si="1"/>
        <v>0</v>
      </c>
      <c r="V6" s="7">
        <f t="shared" si="2"/>
        <v>0</v>
      </c>
    </row>
    <row r="7" spans="1:22" x14ac:dyDescent="0.25">
      <c r="A7" s="182">
        <v>44972</v>
      </c>
      <c r="B7" s="155"/>
      <c r="C7" s="156"/>
      <c r="D7" s="184"/>
      <c r="E7" s="166"/>
      <c r="F7" s="151"/>
      <c r="G7" s="151"/>
      <c r="H7" s="151"/>
      <c r="I7" s="154"/>
      <c r="J7" s="154"/>
      <c r="K7" s="154"/>
      <c r="L7" s="154"/>
      <c r="M7" s="154"/>
      <c r="N7" s="154"/>
      <c r="O7" s="154"/>
      <c r="P7" s="157"/>
      <c r="Q7" s="150" t="s">
        <v>9</v>
      </c>
      <c r="R7" s="168">
        <f>T2</f>
        <v>0</v>
      </c>
      <c r="S7" s="88"/>
      <c r="T7" s="7">
        <f t="shared" si="0"/>
        <v>0</v>
      </c>
      <c r="U7" s="7">
        <f t="shared" si="1"/>
        <v>0</v>
      </c>
      <c r="V7" s="7">
        <f t="shared" si="2"/>
        <v>0</v>
      </c>
    </row>
    <row r="8" spans="1:22" x14ac:dyDescent="0.25">
      <c r="A8" s="182">
        <v>44972</v>
      </c>
      <c r="B8" s="155"/>
      <c r="C8" s="156"/>
      <c r="D8" s="184"/>
      <c r="E8" s="166"/>
      <c r="F8" s="151"/>
      <c r="G8" s="151"/>
      <c r="H8" s="151"/>
      <c r="I8" s="154"/>
      <c r="J8" s="154"/>
      <c r="K8" s="154"/>
      <c r="L8" s="154"/>
      <c r="M8" s="154"/>
      <c r="N8" s="154"/>
      <c r="O8" s="154"/>
      <c r="P8" s="157"/>
      <c r="Q8" s="150" t="s">
        <v>10</v>
      </c>
      <c r="R8" s="168">
        <f>U2</f>
        <v>0</v>
      </c>
      <c r="S8" s="88"/>
      <c r="T8" s="7">
        <f t="shared" si="0"/>
        <v>0</v>
      </c>
      <c r="U8" s="7">
        <f t="shared" si="1"/>
        <v>0</v>
      </c>
      <c r="V8" s="7">
        <f t="shared" si="2"/>
        <v>0</v>
      </c>
    </row>
    <row r="9" spans="1:22" x14ac:dyDescent="0.25">
      <c r="A9" s="182">
        <v>44972</v>
      </c>
      <c r="B9" s="155"/>
      <c r="C9" s="156"/>
      <c r="D9" s="184"/>
      <c r="E9" s="154"/>
      <c r="F9" s="151"/>
      <c r="G9" s="151"/>
      <c r="H9" s="151"/>
      <c r="I9" s="154"/>
      <c r="J9" s="154"/>
      <c r="K9" s="154"/>
      <c r="L9" s="154"/>
      <c r="M9" s="154"/>
      <c r="N9" s="154"/>
      <c r="O9" s="154"/>
      <c r="P9" s="157"/>
      <c r="Q9" s="178" t="s">
        <v>28</v>
      </c>
      <c r="R9" s="175">
        <f>V2</f>
        <v>0</v>
      </c>
      <c r="S9" s="88"/>
      <c r="T9" s="7">
        <f t="shared" si="0"/>
        <v>0</v>
      </c>
      <c r="U9" s="7">
        <f t="shared" si="1"/>
        <v>0</v>
      </c>
      <c r="V9" s="7">
        <f t="shared" si="2"/>
        <v>0</v>
      </c>
    </row>
    <row r="10" spans="1:22" ht="15.75" customHeight="1" x14ac:dyDescent="0.25">
      <c r="A10" s="182">
        <v>44972</v>
      </c>
      <c r="B10" s="155"/>
      <c r="C10" s="156"/>
      <c r="D10" s="184"/>
      <c r="E10" s="154"/>
      <c r="F10" s="151"/>
      <c r="G10" s="151"/>
      <c r="H10" s="151"/>
      <c r="I10" s="154"/>
      <c r="J10" s="154"/>
      <c r="K10" s="154"/>
      <c r="L10" s="154"/>
      <c r="M10" s="154"/>
      <c r="N10" s="154"/>
      <c r="O10" s="154"/>
      <c r="P10" s="157"/>
      <c r="Q10" s="179"/>
      <c r="R10" s="159"/>
      <c r="S10" s="88"/>
      <c r="T10" s="7">
        <f t="shared" si="0"/>
        <v>0</v>
      </c>
      <c r="U10" s="7">
        <f t="shared" si="1"/>
        <v>0</v>
      </c>
      <c r="V10" s="7">
        <f t="shared" si="2"/>
        <v>0</v>
      </c>
    </row>
    <row r="11" spans="1:22" x14ac:dyDescent="0.25">
      <c r="A11" s="182">
        <v>44972</v>
      </c>
      <c r="B11" s="155"/>
      <c r="C11" s="156"/>
      <c r="D11" s="184"/>
      <c r="E11" s="154"/>
      <c r="F11" s="151"/>
      <c r="G11" s="151"/>
      <c r="H11" s="151"/>
      <c r="I11" s="154"/>
      <c r="J11" s="154"/>
      <c r="K11" s="154"/>
      <c r="L11" s="154"/>
      <c r="M11" s="154"/>
      <c r="N11" s="154"/>
      <c r="O11" s="154"/>
      <c r="P11" s="157"/>
      <c r="Q11" s="180" t="s">
        <v>24</v>
      </c>
      <c r="R11" s="169"/>
      <c r="S11" s="88"/>
      <c r="T11" s="7">
        <f t="shared" si="0"/>
        <v>0</v>
      </c>
      <c r="U11" s="7">
        <f t="shared" si="1"/>
        <v>0</v>
      </c>
      <c r="V11" s="7">
        <f t="shared" si="2"/>
        <v>0</v>
      </c>
    </row>
    <row r="12" spans="1:22" ht="15.75" customHeight="1" x14ac:dyDescent="0.25">
      <c r="A12" s="182">
        <v>44972</v>
      </c>
      <c r="B12" s="155"/>
      <c r="C12" s="156"/>
      <c r="D12" s="184"/>
      <c r="E12" s="154"/>
      <c r="F12" s="151"/>
      <c r="G12" s="151"/>
      <c r="H12" s="151"/>
      <c r="I12" s="154"/>
      <c r="J12" s="154"/>
      <c r="K12" s="154"/>
      <c r="L12" s="154"/>
      <c r="M12" s="154"/>
      <c r="N12" s="154"/>
      <c r="O12" s="154"/>
      <c r="P12" s="157"/>
      <c r="Q12" s="170" t="s">
        <v>25</v>
      </c>
      <c r="R12" s="169"/>
      <c r="S12" s="88"/>
      <c r="T12" s="7">
        <f t="shared" si="0"/>
        <v>0</v>
      </c>
      <c r="U12" s="7">
        <f t="shared" si="1"/>
        <v>0</v>
      </c>
      <c r="V12" s="7">
        <f t="shared" si="2"/>
        <v>0</v>
      </c>
    </row>
    <row r="13" spans="1:22" x14ac:dyDescent="0.25">
      <c r="A13" s="182">
        <v>44972</v>
      </c>
      <c r="B13" s="155"/>
      <c r="C13" s="156"/>
      <c r="D13" s="184"/>
      <c r="E13" s="154"/>
      <c r="F13" s="151"/>
      <c r="G13" s="151"/>
      <c r="H13" s="151"/>
      <c r="I13" s="154"/>
      <c r="J13" s="154"/>
      <c r="K13" s="154"/>
      <c r="L13" s="154"/>
      <c r="M13" s="154"/>
      <c r="N13" s="154"/>
      <c r="O13" s="154"/>
      <c r="P13" s="157"/>
      <c r="Q13" s="181" t="s">
        <v>19</v>
      </c>
      <c r="R13" s="88"/>
      <c r="S13" s="88"/>
      <c r="T13" s="7">
        <f t="shared" si="0"/>
        <v>0</v>
      </c>
      <c r="U13" s="7">
        <f t="shared" si="1"/>
        <v>0</v>
      </c>
      <c r="V13" s="7">
        <f t="shared" si="2"/>
        <v>0</v>
      </c>
    </row>
    <row r="14" spans="1:22" x14ac:dyDescent="0.25">
      <c r="A14" s="182">
        <v>44972</v>
      </c>
      <c r="B14" s="155"/>
      <c r="C14" s="156"/>
      <c r="D14" s="184"/>
      <c r="E14" s="154"/>
      <c r="F14" s="151"/>
      <c r="G14" s="151"/>
      <c r="H14" s="151"/>
      <c r="I14" s="154"/>
      <c r="J14" s="154"/>
      <c r="K14" s="154"/>
      <c r="L14" s="154"/>
      <c r="M14" s="154"/>
      <c r="N14" s="154"/>
      <c r="O14" s="154"/>
      <c r="P14" s="157"/>
      <c r="Q14" s="181" t="s">
        <v>18</v>
      </c>
      <c r="R14" s="160"/>
      <c r="T14" s="7">
        <f t="shared" si="0"/>
        <v>0</v>
      </c>
      <c r="U14" s="7">
        <f t="shared" si="1"/>
        <v>0</v>
      </c>
      <c r="V14" s="7">
        <f t="shared" si="2"/>
        <v>0</v>
      </c>
    </row>
    <row r="15" spans="1:22" x14ac:dyDescent="0.25">
      <c r="A15" s="182">
        <v>44972</v>
      </c>
      <c r="B15" s="155"/>
      <c r="C15" s="156"/>
      <c r="D15" s="184"/>
      <c r="E15" s="154"/>
      <c r="F15" s="151"/>
      <c r="G15" s="151"/>
      <c r="H15" s="151"/>
      <c r="I15" s="154"/>
      <c r="J15" s="154"/>
      <c r="K15" s="154"/>
      <c r="L15" s="154"/>
      <c r="M15" s="154"/>
      <c r="N15" s="154"/>
      <c r="O15" s="154"/>
      <c r="P15" s="157"/>
      <c r="Q15" s="160"/>
      <c r="R15" s="160"/>
      <c r="T15" s="7">
        <f t="shared" si="0"/>
        <v>0</v>
      </c>
      <c r="U15" s="7">
        <f t="shared" si="1"/>
        <v>0</v>
      </c>
      <c r="V15" s="7">
        <f t="shared" si="2"/>
        <v>0</v>
      </c>
    </row>
    <row r="16" spans="1:22" x14ac:dyDescent="0.25">
      <c r="A16" s="182">
        <v>44972</v>
      </c>
      <c r="B16" s="155"/>
      <c r="C16" s="156"/>
      <c r="D16" s="184"/>
      <c r="E16" s="154"/>
      <c r="F16" s="151"/>
      <c r="G16" s="151"/>
      <c r="H16" s="151"/>
      <c r="I16" s="154"/>
      <c r="J16" s="154"/>
      <c r="K16" s="154"/>
      <c r="L16" s="154"/>
      <c r="M16" s="154"/>
      <c r="N16" s="154"/>
      <c r="O16" s="154"/>
      <c r="P16" s="157"/>
      <c r="Q16" s="160"/>
      <c r="R16" s="160"/>
      <c r="T16" s="7">
        <f t="shared" si="0"/>
        <v>0</v>
      </c>
      <c r="U16" s="7">
        <f t="shared" si="1"/>
        <v>0</v>
      </c>
      <c r="V16" s="7">
        <f t="shared" si="2"/>
        <v>0</v>
      </c>
    </row>
    <row r="17" spans="1:22" x14ac:dyDescent="0.25">
      <c r="A17" s="182">
        <v>44972</v>
      </c>
      <c r="B17" s="155"/>
      <c r="C17" s="156"/>
      <c r="D17" s="184"/>
      <c r="E17" s="154"/>
      <c r="F17" s="151"/>
      <c r="G17" s="151"/>
      <c r="H17" s="151"/>
      <c r="I17" s="154"/>
      <c r="J17" s="154"/>
      <c r="K17" s="154"/>
      <c r="L17" s="154"/>
      <c r="M17" s="154"/>
      <c r="N17" s="154"/>
      <c r="O17" s="154"/>
      <c r="P17" s="157"/>
      <c r="Q17" s="157"/>
      <c r="R17" s="161"/>
      <c r="T17" s="7">
        <f t="shared" si="0"/>
        <v>0</v>
      </c>
      <c r="U17" s="7">
        <f t="shared" si="1"/>
        <v>0</v>
      </c>
      <c r="V17" s="7">
        <f t="shared" si="2"/>
        <v>0</v>
      </c>
    </row>
    <row r="18" spans="1:22" x14ac:dyDescent="0.25">
      <c r="A18" s="182">
        <v>44972</v>
      </c>
      <c r="B18" s="155"/>
      <c r="C18" s="156"/>
      <c r="D18" s="184"/>
      <c r="E18" s="154"/>
      <c r="F18" s="151"/>
      <c r="G18" s="151"/>
      <c r="H18" s="151"/>
      <c r="I18" s="154"/>
      <c r="J18" s="154"/>
      <c r="K18" s="154"/>
      <c r="L18" s="154"/>
      <c r="M18" s="154"/>
      <c r="N18" s="154"/>
      <c r="O18" s="154"/>
      <c r="P18" s="157"/>
      <c r="Q18" s="157"/>
      <c r="R18" s="161"/>
      <c r="T18" s="7">
        <f t="shared" si="0"/>
        <v>0</v>
      </c>
      <c r="U18" s="7">
        <f t="shared" si="1"/>
        <v>0</v>
      </c>
      <c r="V18" s="7">
        <f t="shared" si="2"/>
        <v>0</v>
      </c>
    </row>
    <row r="19" spans="1:22" x14ac:dyDescent="0.25">
      <c r="A19" s="182">
        <v>44972</v>
      </c>
      <c r="B19" s="155"/>
      <c r="C19" s="156"/>
      <c r="D19" s="184"/>
      <c r="E19" s="154"/>
      <c r="F19" s="151"/>
      <c r="G19" s="151"/>
      <c r="H19" s="151"/>
      <c r="I19" s="154"/>
      <c r="J19" s="154"/>
      <c r="K19" s="154"/>
      <c r="L19" s="154"/>
      <c r="M19" s="154"/>
      <c r="N19" s="154"/>
      <c r="O19" s="154"/>
      <c r="P19" s="157"/>
      <c r="Q19" s="157"/>
      <c r="R19" s="161"/>
      <c r="T19" s="7">
        <f t="shared" si="0"/>
        <v>0</v>
      </c>
      <c r="U19" s="7">
        <f t="shared" si="1"/>
        <v>0</v>
      </c>
      <c r="V19" s="7">
        <f t="shared" si="2"/>
        <v>0</v>
      </c>
    </row>
    <row r="20" spans="1:22" x14ac:dyDescent="0.25">
      <c r="A20" s="182">
        <v>44972</v>
      </c>
      <c r="B20" s="155"/>
      <c r="C20" s="156"/>
      <c r="D20" s="184"/>
      <c r="E20" s="154"/>
      <c r="F20" s="151"/>
      <c r="G20" s="151"/>
      <c r="H20" s="151"/>
      <c r="I20" s="154"/>
      <c r="J20" s="154"/>
      <c r="K20" s="154"/>
      <c r="L20" s="154"/>
      <c r="M20" s="154"/>
      <c r="N20" s="154"/>
      <c r="O20" s="154"/>
      <c r="P20" s="157"/>
      <c r="Q20" s="157"/>
      <c r="R20" s="161"/>
      <c r="T20" s="7">
        <f t="shared" si="0"/>
        <v>0</v>
      </c>
      <c r="U20" s="7">
        <f t="shared" si="1"/>
        <v>0</v>
      </c>
      <c r="V20" s="7">
        <f t="shared" si="2"/>
        <v>0</v>
      </c>
    </row>
    <row r="21" spans="1:22" x14ac:dyDescent="0.25">
      <c r="A21" s="182">
        <v>44972</v>
      </c>
      <c r="B21" s="155"/>
      <c r="C21" s="156"/>
      <c r="D21" s="184"/>
      <c r="E21" s="154"/>
      <c r="F21" s="151"/>
      <c r="G21" s="151"/>
      <c r="H21" s="151"/>
      <c r="I21" s="154"/>
      <c r="J21" s="154"/>
      <c r="K21" s="154"/>
      <c r="L21" s="154"/>
      <c r="M21" s="154"/>
      <c r="N21" s="154"/>
      <c r="O21" s="154"/>
      <c r="P21" s="157"/>
      <c r="Q21" s="88"/>
      <c r="R21" s="88"/>
      <c r="T21" s="7">
        <f t="shared" si="0"/>
        <v>0</v>
      </c>
      <c r="U21" s="7">
        <f t="shared" si="1"/>
        <v>0</v>
      </c>
      <c r="V21" s="7">
        <f t="shared" si="2"/>
        <v>0</v>
      </c>
    </row>
    <row r="22" spans="1:22" x14ac:dyDescent="0.25">
      <c r="A22" s="182">
        <v>44972</v>
      </c>
      <c r="B22" s="155"/>
      <c r="C22" s="156"/>
      <c r="D22" s="184"/>
      <c r="E22" s="154"/>
      <c r="F22" s="151"/>
      <c r="G22" s="151"/>
      <c r="H22" s="151"/>
      <c r="I22" s="154"/>
      <c r="J22" s="154"/>
      <c r="K22" s="154"/>
      <c r="L22" s="154"/>
      <c r="M22" s="154"/>
      <c r="N22" s="154"/>
      <c r="O22" s="154"/>
      <c r="P22" s="157"/>
      <c r="Q22" s="88"/>
      <c r="R22" s="88"/>
      <c r="T22" s="7">
        <f t="shared" si="0"/>
        <v>0</v>
      </c>
      <c r="U22" s="7">
        <f t="shared" si="1"/>
        <v>0</v>
      </c>
      <c r="V22" s="7">
        <f t="shared" si="2"/>
        <v>0</v>
      </c>
    </row>
    <row r="23" spans="1:22" x14ac:dyDescent="0.25">
      <c r="A23" s="182">
        <v>44972</v>
      </c>
      <c r="B23" s="155"/>
      <c r="C23" s="156"/>
      <c r="D23" s="184"/>
      <c r="E23" s="154"/>
      <c r="F23" s="151"/>
      <c r="G23" s="151"/>
      <c r="H23" s="151"/>
      <c r="I23" s="154"/>
      <c r="J23" s="154"/>
      <c r="K23" s="154"/>
      <c r="L23" s="154"/>
      <c r="M23" s="154"/>
      <c r="N23" s="154"/>
      <c r="O23" s="154"/>
      <c r="P23" s="157"/>
      <c r="Q23" s="88"/>
      <c r="R23" s="88"/>
      <c r="T23" s="7">
        <f t="shared" si="0"/>
        <v>0</v>
      </c>
      <c r="U23" s="7">
        <f t="shared" si="1"/>
        <v>0</v>
      </c>
      <c r="V23" s="7">
        <f t="shared" si="2"/>
        <v>0</v>
      </c>
    </row>
    <row r="24" spans="1:22" x14ac:dyDescent="0.25">
      <c r="A24" s="182">
        <v>44972</v>
      </c>
      <c r="B24" s="155"/>
      <c r="C24" s="156"/>
      <c r="D24" s="184"/>
      <c r="E24" s="154"/>
      <c r="F24" s="151"/>
      <c r="G24" s="151"/>
      <c r="H24" s="151"/>
      <c r="I24" s="154"/>
      <c r="J24" s="154"/>
      <c r="K24" s="154"/>
      <c r="L24" s="154"/>
      <c r="M24" s="154"/>
      <c r="N24" s="154"/>
      <c r="O24" s="154"/>
      <c r="P24" s="157"/>
      <c r="Q24" s="88"/>
      <c r="R24" s="88"/>
      <c r="T24" s="7">
        <f t="shared" si="0"/>
        <v>0</v>
      </c>
      <c r="U24" s="7">
        <f t="shared" si="1"/>
        <v>0</v>
      </c>
      <c r="V24" s="7">
        <f t="shared" si="2"/>
        <v>0</v>
      </c>
    </row>
    <row r="25" spans="1:22" x14ac:dyDescent="0.25">
      <c r="A25" s="182">
        <v>44972</v>
      </c>
      <c r="B25" s="16"/>
      <c r="C25" s="6"/>
      <c r="D25" s="185"/>
      <c r="E25" s="15"/>
      <c r="F25" s="151"/>
      <c r="G25" s="151"/>
      <c r="H25" s="151"/>
      <c r="I25" s="15"/>
      <c r="J25" s="15"/>
      <c r="K25" s="15"/>
      <c r="L25" s="154"/>
      <c r="M25" s="15"/>
      <c r="N25" s="15"/>
      <c r="O25" s="15"/>
      <c r="P25" s="7"/>
      <c r="T25" s="7">
        <f t="shared" si="0"/>
        <v>0</v>
      </c>
      <c r="U25" s="7">
        <f t="shared" si="1"/>
        <v>0</v>
      </c>
      <c r="V25" s="7">
        <f t="shared" si="2"/>
        <v>0</v>
      </c>
    </row>
    <row r="26" spans="1:22" x14ac:dyDescent="0.25">
      <c r="A26" s="182">
        <v>44972</v>
      </c>
      <c r="B26" s="16"/>
      <c r="C26" s="6"/>
      <c r="D26" s="185"/>
      <c r="E26" s="15"/>
      <c r="F26" s="151"/>
      <c r="G26" s="151"/>
      <c r="H26" s="151"/>
      <c r="I26" s="15"/>
      <c r="J26" s="15"/>
      <c r="K26" s="15"/>
      <c r="L26" s="154"/>
      <c r="M26" s="15"/>
      <c r="N26" s="15"/>
      <c r="O26" s="15"/>
      <c r="P26" s="7"/>
      <c r="T26" s="7">
        <f t="shared" si="0"/>
        <v>0</v>
      </c>
      <c r="U26" s="7">
        <f t="shared" si="1"/>
        <v>0</v>
      </c>
      <c r="V26" s="7">
        <f t="shared" si="2"/>
        <v>0</v>
      </c>
    </row>
    <row r="27" spans="1:22" x14ac:dyDescent="0.25">
      <c r="A27" s="182">
        <v>44972</v>
      </c>
      <c r="B27" s="16"/>
      <c r="C27" s="6"/>
      <c r="D27" s="185"/>
      <c r="E27" s="15"/>
      <c r="F27" s="151"/>
      <c r="G27" s="151"/>
      <c r="H27" s="151"/>
      <c r="I27" s="15"/>
      <c r="J27" s="15"/>
      <c r="K27" s="15"/>
      <c r="L27" s="154"/>
      <c r="M27" s="15"/>
      <c r="N27" s="15"/>
      <c r="O27" s="15"/>
      <c r="P27" s="7"/>
      <c r="Q27" s="7"/>
      <c r="R27" s="5"/>
      <c r="T27" s="7">
        <f t="shared" si="0"/>
        <v>0</v>
      </c>
      <c r="U27" s="7">
        <f t="shared" si="1"/>
        <v>0</v>
      </c>
      <c r="V27" s="7">
        <f t="shared" si="2"/>
        <v>0</v>
      </c>
    </row>
    <row r="28" spans="1:22" x14ac:dyDescent="0.25">
      <c r="A28" s="182">
        <v>44972</v>
      </c>
      <c r="B28" s="16"/>
      <c r="C28" s="6"/>
      <c r="D28" s="185"/>
      <c r="E28" s="15"/>
      <c r="F28" s="151"/>
      <c r="G28" s="151"/>
      <c r="H28" s="151"/>
      <c r="I28" s="15"/>
      <c r="J28" s="15"/>
      <c r="K28" s="15"/>
      <c r="L28" s="154"/>
      <c r="M28" s="15"/>
      <c r="N28" s="15"/>
      <c r="O28" s="15"/>
      <c r="P28" s="7"/>
      <c r="Q28" s="7"/>
      <c r="R28" s="5"/>
      <c r="T28" s="7">
        <f t="shared" si="0"/>
        <v>0</v>
      </c>
      <c r="U28" s="7">
        <f t="shared" si="1"/>
        <v>0</v>
      </c>
      <c r="V28" s="7">
        <f t="shared" si="2"/>
        <v>0</v>
      </c>
    </row>
    <row r="29" spans="1:22" x14ac:dyDescent="0.25">
      <c r="A29" s="182">
        <v>44972</v>
      </c>
      <c r="B29" s="14"/>
      <c r="C29" s="6"/>
      <c r="D29" s="185"/>
      <c r="E29" s="15"/>
      <c r="F29" s="151"/>
      <c r="G29" s="151"/>
      <c r="H29" s="151"/>
      <c r="I29" s="15"/>
      <c r="J29" s="15"/>
      <c r="K29" s="15"/>
      <c r="L29" s="154"/>
      <c r="M29" s="15"/>
      <c r="N29" s="15"/>
      <c r="O29" s="15"/>
      <c r="P29" s="7"/>
      <c r="Q29" s="7"/>
      <c r="R29" s="5"/>
      <c r="T29" s="7">
        <f t="shared" si="0"/>
        <v>0</v>
      </c>
      <c r="U29" s="7">
        <f t="shared" si="1"/>
        <v>0</v>
      </c>
      <c r="V29" s="7">
        <f t="shared" si="2"/>
        <v>0</v>
      </c>
    </row>
    <row r="30" spans="1:22" x14ac:dyDescent="0.25">
      <c r="A30" s="182">
        <v>44972</v>
      </c>
      <c r="B30" s="16"/>
      <c r="C30" s="6"/>
      <c r="D30" s="185"/>
      <c r="E30" s="15"/>
      <c r="F30" s="151"/>
      <c r="G30" s="151"/>
      <c r="H30" s="151"/>
      <c r="I30" s="15"/>
      <c r="J30" s="15"/>
      <c r="K30" s="15"/>
      <c r="L30" s="154"/>
      <c r="M30" s="15"/>
      <c r="N30" s="15"/>
      <c r="O30" s="15"/>
      <c r="P30" s="7"/>
      <c r="Q30" s="7"/>
      <c r="R30" s="5"/>
      <c r="T30" s="7">
        <f t="shared" si="0"/>
        <v>0</v>
      </c>
      <c r="U30" s="7">
        <f t="shared" si="1"/>
        <v>0</v>
      </c>
      <c r="V30" s="7">
        <f t="shared" si="2"/>
        <v>0</v>
      </c>
    </row>
    <row r="31" spans="1:22" x14ac:dyDescent="0.25">
      <c r="A31" s="182">
        <v>44972</v>
      </c>
      <c r="B31" s="16"/>
      <c r="C31" s="6"/>
      <c r="D31" s="185"/>
      <c r="E31" s="15"/>
      <c r="F31" s="151"/>
      <c r="G31" s="151"/>
      <c r="H31" s="151"/>
      <c r="I31" s="15"/>
      <c r="J31" s="15"/>
      <c r="K31" s="15"/>
      <c r="L31" s="15"/>
      <c r="M31" s="15"/>
      <c r="N31" s="15"/>
      <c r="O31" s="15"/>
      <c r="P31" s="7"/>
      <c r="Q31" s="7"/>
      <c r="R31" s="5"/>
      <c r="T31" s="7">
        <f t="shared" si="0"/>
        <v>0</v>
      </c>
      <c r="U31" s="7">
        <f t="shared" si="1"/>
        <v>0</v>
      </c>
      <c r="V31" s="7">
        <f t="shared" si="2"/>
        <v>0</v>
      </c>
    </row>
    <row r="32" spans="1:22" x14ac:dyDescent="0.25">
      <c r="A32" s="182">
        <v>44972</v>
      </c>
      <c r="B32" s="16"/>
      <c r="C32" s="6"/>
      <c r="D32" s="185"/>
      <c r="E32" s="15"/>
      <c r="F32" s="151"/>
      <c r="G32" s="151"/>
      <c r="H32" s="151"/>
      <c r="I32" s="15"/>
      <c r="J32" s="15"/>
      <c r="K32" s="15"/>
      <c r="L32" s="15"/>
      <c r="M32" s="15"/>
      <c r="N32" s="15"/>
      <c r="O32" s="15"/>
      <c r="P32" s="7"/>
      <c r="Q32" s="7"/>
      <c r="R32" s="5"/>
      <c r="T32" s="7">
        <f t="shared" si="0"/>
        <v>0</v>
      </c>
      <c r="U32" s="7">
        <f t="shared" si="1"/>
        <v>0</v>
      </c>
      <c r="V32" s="7">
        <f t="shared" si="2"/>
        <v>0</v>
      </c>
    </row>
    <row r="33" spans="1:22" x14ac:dyDescent="0.25">
      <c r="A33" s="182">
        <v>44972</v>
      </c>
      <c r="B33" s="16"/>
      <c r="C33" s="6"/>
      <c r="D33" s="185"/>
      <c r="E33" s="15"/>
      <c r="F33" s="151"/>
      <c r="G33" s="151"/>
      <c r="H33" s="151"/>
      <c r="I33" s="15"/>
      <c r="J33" s="15"/>
      <c r="K33" s="15"/>
      <c r="L33" s="15"/>
      <c r="M33" s="15"/>
      <c r="N33" s="15"/>
      <c r="O33" s="15"/>
      <c r="P33" s="7"/>
      <c r="Q33" s="7"/>
      <c r="R33" s="5"/>
      <c r="T33" s="7">
        <f t="shared" si="0"/>
        <v>0</v>
      </c>
      <c r="U33" s="7">
        <f t="shared" si="1"/>
        <v>0</v>
      </c>
      <c r="V33" s="7">
        <f t="shared" si="2"/>
        <v>0</v>
      </c>
    </row>
    <row r="34" spans="1:22" x14ac:dyDescent="0.25">
      <c r="A34" s="182">
        <v>44972</v>
      </c>
      <c r="B34" s="14"/>
      <c r="C34" s="6"/>
      <c r="D34" s="185"/>
      <c r="E34" s="15"/>
      <c r="F34" s="151"/>
      <c r="G34" s="151"/>
      <c r="H34" s="151"/>
      <c r="I34" s="15"/>
      <c r="J34" s="15"/>
      <c r="K34" s="15"/>
      <c r="L34" s="15"/>
      <c r="M34" s="15"/>
      <c r="N34" s="15"/>
      <c r="O34" s="15"/>
      <c r="P34" s="7"/>
      <c r="Q34" s="7"/>
      <c r="R34" s="5"/>
      <c r="T34" s="7">
        <f t="shared" si="0"/>
        <v>0</v>
      </c>
      <c r="U34" s="7">
        <f t="shared" si="1"/>
        <v>0</v>
      </c>
      <c r="V34" s="7">
        <f t="shared" si="2"/>
        <v>0</v>
      </c>
    </row>
    <row r="35" spans="1:22" x14ac:dyDescent="0.25">
      <c r="A35" s="182">
        <v>44972</v>
      </c>
      <c r="B35" s="16"/>
      <c r="C35" s="6"/>
      <c r="D35" s="185"/>
      <c r="E35" s="15"/>
      <c r="F35" s="151"/>
      <c r="G35" s="151"/>
      <c r="H35" s="151"/>
      <c r="I35" s="15"/>
      <c r="J35" s="15"/>
      <c r="K35" s="15"/>
      <c r="L35" s="15"/>
      <c r="M35" s="15"/>
      <c r="N35" s="15"/>
      <c r="O35" s="15"/>
      <c r="P35" s="7"/>
      <c r="Q35" s="7"/>
      <c r="R35" s="5"/>
      <c r="T35" s="7">
        <f t="shared" si="0"/>
        <v>0</v>
      </c>
      <c r="U35" s="7">
        <f t="shared" si="1"/>
        <v>0</v>
      </c>
      <c r="V35" s="7">
        <f t="shared" si="2"/>
        <v>0</v>
      </c>
    </row>
    <row r="36" spans="1:22" x14ac:dyDescent="0.25">
      <c r="A36" s="182">
        <v>44972</v>
      </c>
      <c r="B36" s="16"/>
      <c r="C36" s="6"/>
      <c r="D36" s="185"/>
      <c r="E36" s="15"/>
      <c r="F36" s="151"/>
      <c r="G36" s="151"/>
      <c r="H36" s="151"/>
      <c r="I36" s="15"/>
      <c r="J36" s="15"/>
      <c r="K36" s="15"/>
      <c r="L36" s="15"/>
      <c r="M36" s="15"/>
      <c r="N36" s="15"/>
      <c r="O36" s="15"/>
      <c r="P36" s="7"/>
      <c r="Q36" s="7"/>
      <c r="R36" s="5"/>
      <c r="T36" s="7">
        <f t="shared" si="0"/>
        <v>0</v>
      </c>
      <c r="U36" s="7">
        <f t="shared" si="1"/>
        <v>0</v>
      </c>
      <c r="V36" s="7">
        <f t="shared" si="2"/>
        <v>0</v>
      </c>
    </row>
    <row r="37" spans="1:22" x14ac:dyDescent="0.25">
      <c r="A37" s="182">
        <v>44972</v>
      </c>
      <c r="B37" s="16"/>
      <c r="C37" s="6"/>
      <c r="D37" s="185"/>
      <c r="E37" s="15"/>
      <c r="F37" s="151"/>
      <c r="G37" s="151"/>
      <c r="H37" s="151"/>
      <c r="I37" s="15"/>
      <c r="J37" s="15"/>
      <c r="K37" s="15"/>
      <c r="L37" s="15"/>
      <c r="M37" s="15"/>
      <c r="N37" s="15"/>
      <c r="O37" s="15"/>
      <c r="P37" s="7"/>
      <c r="Q37" s="7"/>
      <c r="R37" s="5"/>
      <c r="T37" s="7">
        <f t="shared" si="0"/>
        <v>0</v>
      </c>
      <c r="U37" s="7">
        <f t="shared" si="1"/>
        <v>0</v>
      </c>
      <c r="V37" s="7">
        <f t="shared" si="2"/>
        <v>0</v>
      </c>
    </row>
    <row r="38" spans="1:22" x14ac:dyDescent="0.25">
      <c r="A38" s="182">
        <v>44972</v>
      </c>
      <c r="B38" s="14"/>
      <c r="C38" s="6"/>
      <c r="D38" s="185"/>
      <c r="E38" s="15"/>
      <c r="F38" s="151"/>
      <c r="G38" s="151"/>
      <c r="H38" s="151"/>
      <c r="I38" s="15"/>
      <c r="J38" s="15"/>
      <c r="K38" s="15"/>
      <c r="L38" s="15"/>
      <c r="M38" s="15"/>
      <c r="N38" s="15"/>
      <c r="O38" s="15"/>
      <c r="P38" s="7"/>
      <c r="Q38" s="7"/>
      <c r="R38" s="5"/>
      <c r="T38" s="7">
        <f t="shared" si="0"/>
        <v>0</v>
      </c>
      <c r="U38" s="7">
        <f t="shared" si="1"/>
        <v>0</v>
      </c>
      <c r="V38" s="7">
        <f t="shared" si="2"/>
        <v>0</v>
      </c>
    </row>
    <row r="39" spans="1:22" x14ac:dyDescent="0.25">
      <c r="A39" s="182">
        <v>44972</v>
      </c>
      <c r="B39" s="16"/>
      <c r="C39" s="6"/>
      <c r="D39" s="185"/>
      <c r="E39" s="15"/>
      <c r="F39" s="151"/>
      <c r="G39" s="151"/>
      <c r="H39" s="151"/>
      <c r="I39" s="15"/>
      <c r="J39" s="15"/>
      <c r="K39" s="15"/>
      <c r="L39" s="15"/>
      <c r="M39" s="15"/>
      <c r="N39" s="15"/>
      <c r="O39" s="15"/>
      <c r="P39" s="7"/>
      <c r="Q39" s="7"/>
      <c r="R39" s="5"/>
      <c r="T39" s="7">
        <f t="shared" si="0"/>
        <v>0</v>
      </c>
      <c r="U39" s="7">
        <f t="shared" si="1"/>
        <v>0</v>
      </c>
      <c r="V39" s="7">
        <f t="shared" si="2"/>
        <v>0</v>
      </c>
    </row>
    <row r="40" spans="1:22" x14ac:dyDescent="0.25">
      <c r="A40" s="182">
        <v>44972</v>
      </c>
      <c r="B40" s="14"/>
      <c r="C40" s="6"/>
      <c r="D40" s="185"/>
      <c r="E40" s="15"/>
      <c r="F40" s="151"/>
      <c r="G40" s="151"/>
      <c r="H40" s="151"/>
      <c r="I40" s="15"/>
      <c r="J40" s="15"/>
      <c r="K40" s="15"/>
      <c r="L40" s="15"/>
      <c r="M40" s="15"/>
      <c r="N40" s="15"/>
      <c r="O40" s="15"/>
      <c r="P40" s="7"/>
      <c r="Q40" s="7"/>
      <c r="R40" s="5"/>
      <c r="T40" s="7">
        <f t="shared" si="0"/>
        <v>0</v>
      </c>
      <c r="U40" s="7">
        <f t="shared" si="1"/>
        <v>0</v>
      </c>
      <c r="V40" s="7">
        <f t="shared" si="2"/>
        <v>0</v>
      </c>
    </row>
    <row r="41" spans="1:22" x14ac:dyDescent="0.25">
      <c r="A41" s="182">
        <v>44972</v>
      </c>
      <c r="B41" s="16"/>
      <c r="C41" s="6"/>
      <c r="D41" s="185"/>
      <c r="E41" s="15"/>
      <c r="F41" s="151"/>
      <c r="G41" s="151"/>
      <c r="H41" s="151"/>
      <c r="I41" s="15"/>
      <c r="J41" s="15"/>
      <c r="K41" s="15"/>
      <c r="L41" s="15"/>
      <c r="M41" s="15"/>
      <c r="N41" s="15"/>
      <c r="O41" s="15"/>
      <c r="P41" s="7"/>
      <c r="Q41" s="7"/>
      <c r="R41" s="5"/>
      <c r="T41" s="7">
        <f t="shared" si="0"/>
        <v>0</v>
      </c>
      <c r="U41" s="7">
        <f t="shared" si="1"/>
        <v>0</v>
      </c>
      <c r="V41" s="7">
        <f t="shared" si="2"/>
        <v>0</v>
      </c>
    </row>
    <row r="42" spans="1:22" x14ac:dyDescent="0.25">
      <c r="A42" s="182">
        <v>44972</v>
      </c>
      <c r="B42" s="14"/>
      <c r="C42" s="6"/>
      <c r="D42" s="185"/>
      <c r="E42" s="15"/>
      <c r="F42" s="151"/>
      <c r="G42" s="151"/>
      <c r="H42" s="151"/>
      <c r="I42" s="15"/>
      <c r="J42" s="15"/>
      <c r="K42" s="15"/>
      <c r="L42" s="15"/>
      <c r="M42" s="15"/>
      <c r="N42" s="15"/>
      <c r="O42" s="15"/>
      <c r="P42" s="7"/>
      <c r="Q42" s="7"/>
      <c r="R42" s="5"/>
      <c r="T42" s="7">
        <f t="shared" si="0"/>
        <v>0</v>
      </c>
      <c r="U42" s="7">
        <f t="shared" si="1"/>
        <v>0</v>
      </c>
      <c r="V42" s="7">
        <f t="shared" si="2"/>
        <v>0</v>
      </c>
    </row>
    <row r="43" spans="1:22" x14ac:dyDescent="0.25">
      <c r="A43" s="182">
        <v>44972</v>
      </c>
      <c r="B43" s="16"/>
      <c r="C43" s="6"/>
      <c r="D43" s="185"/>
      <c r="E43" s="15"/>
      <c r="F43" s="151"/>
      <c r="G43" s="151"/>
      <c r="H43" s="151"/>
      <c r="I43" s="15"/>
      <c r="J43" s="15"/>
      <c r="K43" s="15"/>
      <c r="L43" s="15"/>
      <c r="M43" s="15"/>
      <c r="N43" s="15"/>
      <c r="O43" s="15"/>
      <c r="P43" s="7"/>
      <c r="Q43" s="7"/>
      <c r="R43" s="5"/>
      <c r="T43" s="7">
        <f t="shared" si="0"/>
        <v>0</v>
      </c>
      <c r="U43" s="7">
        <f t="shared" si="1"/>
        <v>0</v>
      </c>
      <c r="V43" s="7">
        <f t="shared" si="2"/>
        <v>0</v>
      </c>
    </row>
    <row r="44" spans="1:22" x14ac:dyDescent="0.25">
      <c r="A44" s="182">
        <v>44972</v>
      </c>
      <c r="B44" s="16"/>
      <c r="C44" s="6"/>
      <c r="D44" s="185"/>
      <c r="E44" s="15"/>
      <c r="F44" s="151"/>
      <c r="G44" s="151"/>
      <c r="H44" s="151"/>
      <c r="I44" s="15"/>
      <c r="J44" s="15"/>
      <c r="K44" s="15"/>
      <c r="L44" s="15"/>
      <c r="M44" s="15"/>
      <c r="N44" s="15"/>
      <c r="O44" s="15"/>
      <c r="P44" s="7"/>
      <c r="Q44" s="7"/>
      <c r="R44" s="5"/>
      <c r="T44" s="7">
        <f t="shared" si="0"/>
        <v>0</v>
      </c>
      <c r="U44" s="7">
        <f t="shared" si="1"/>
        <v>0</v>
      </c>
      <c r="V44" s="7">
        <f t="shared" si="2"/>
        <v>0</v>
      </c>
    </row>
    <row r="45" spans="1:22" x14ac:dyDescent="0.25">
      <c r="A45" s="182">
        <v>44972</v>
      </c>
      <c r="B45" s="14"/>
      <c r="C45" s="6"/>
      <c r="D45" s="185"/>
      <c r="E45" s="15"/>
      <c r="F45" s="151"/>
      <c r="G45" s="151"/>
      <c r="H45" s="151"/>
      <c r="I45" s="15"/>
      <c r="J45" s="15"/>
      <c r="K45" s="15"/>
      <c r="L45" s="15"/>
      <c r="M45" s="15"/>
      <c r="N45" s="15"/>
      <c r="O45" s="15"/>
      <c r="P45" s="7"/>
      <c r="Q45" s="7"/>
      <c r="R45" s="5"/>
      <c r="T45" s="7">
        <f t="shared" si="0"/>
        <v>0</v>
      </c>
      <c r="U45" s="7">
        <f t="shared" si="1"/>
        <v>0</v>
      </c>
      <c r="V45" s="7">
        <f t="shared" si="2"/>
        <v>0</v>
      </c>
    </row>
    <row r="46" spans="1:22" x14ac:dyDescent="0.25">
      <c r="A46" s="182">
        <v>44972</v>
      </c>
      <c r="B46" s="16"/>
      <c r="C46" s="6"/>
      <c r="D46" s="185"/>
      <c r="E46" s="15"/>
      <c r="F46" s="151"/>
      <c r="G46" s="151"/>
      <c r="H46" s="151"/>
      <c r="I46" s="15"/>
      <c r="J46" s="15"/>
      <c r="K46" s="15"/>
      <c r="L46" s="15"/>
      <c r="M46" s="15"/>
      <c r="N46" s="15"/>
      <c r="O46" s="15"/>
      <c r="P46" s="7"/>
      <c r="Q46" s="7"/>
      <c r="R46" s="5"/>
      <c r="T46" s="7">
        <f t="shared" si="0"/>
        <v>0</v>
      </c>
      <c r="U46" s="7">
        <f t="shared" si="1"/>
        <v>0</v>
      </c>
      <c r="V46" s="7">
        <f t="shared" si="2"/>
        <v>0</v>
      </c>
    </row>
    <row r="47" spans="1:22" x14ac:dyDescent="0.25">
      <c r="A47" s="182">
        <v>44972</v>
      </c>
      <c r="B47" s="16"/>
      <c r="C47" s="6"/>
      <c r="D47" s="185"/>
      <c r="E47" s="15"/>
      <c r="F47" s="151"/>
      <c r="G47" s="151"/>
      <c r="H47" s="151"/>
      <c r="I47" s="15"/>
      <c r="J47" s="15"/>
      <c r="K47" s="15"/>
      <c r="L47" s="15"/>
      <c r="M47" s="15"/>
      <c r="N47" s="15"/>
      <c r="O47" s="15"/>
      <c r="P47" s="7"/>
      <c r="Q47" s="7"/>
      <c r="R47" s="5"/>
      <c r="T47" s="7">
        <f t="shared" si="0"/>
        <v>0</v>
      </c>
      <c r="U47" s="7">
        <f t="shared" si="1"/>
        <v>0</v>
      </c>
      <c r="V47" s="7">
        <f t="shared" si="2"/>
        <v>0</v>
      </c>
    </row>
    <row r="48" spans="1:22" x14ac:dyDescent="0.25">
      <c r="A48" s="182">
        <v>44972</v>
      </c>
      <c r="B48" s="16"/>
      <c r="C48" s="6"/>
      <c r="D48" s="185"/>
      <c r="E48" s="15"/>
      <c r="F48" s="151"/>
      <c r="G48" s="151"/>
      <c r="H48" s="151"/>
      <c r="I48" s="15"/>
      <c r="J48" s="15"/>
      <c r="K48" s="15"/>
      <c r="L48" s="15"/>
      <c r="M48" s="15"/>
      <c r="N48" s="15"/>
      <c r="O48" s="15"/>
      <c r="P48" s="7"/>
      <c r="Q48" s="7"/>
      <c r="R48" s="5"/>
      <c r="T48" s="7">
        <f t="shared" si="0"/>
        <v>0</v>
      </c>
      <c r="U48" s="7">
        <f t="shared" si="1"/>
        <v>0</v>
      </c>
      <c r="V48" s="7">
        <f t="shared" si="2"/>
        <v>0</v>
      </c>
    </row>
    <row r="49" spans="1:22" x14ac:dyDescent="0.25">
      <c r="A49" s="182">
        <v>44972</v>
      </c>
      <c r="B49" s="14"/>
      <c r="C49" s="6"/>
      <c r="D49" s="185"/>
      <c r="E49" s="15"/>
      <c r="F49" s="151"/>
      <c r="G49" s="151"/>
      <c r="H49" s="151"/>
      <c r="I49" s="15"/>
      <c r="J49" s="15"/>
      <c r="K49" s="15"/>
      <c r="L49" s="15"/>
      <c r="M49" s="15"/>
      <c r="N49" s="15"/>
      <c r="O49" s="15"/>
      <c r="P49" s="7"/>
      <c r="Q49" s="7"/>
      <c r="R49" s="5"/>
      <c r="T49" s="7">
        <f t="shared" si="0"/>
        <v>0</v>
      </c>
      <c r="U49" s="7">
        <f t="shared" si="1"/>
        <v>0</v>
      </c>
      <c r="V49" s="7">
        <f t="shared" si="2"/>
        <v>0</v>
      </c>
    </row>
    <row r="50" spans="1:22" x14ac:dyDescent="0.25">
      <c r="A50" s="182">
        <v>44972</v>
      </c>
      <c r="B50" s="14"/>
      <c r="C50" s="6"/>
      <c r="D50" s="185"/>
      <c r="E50" s="15"/>
      <c r="F50" s="151"/>
      <c r="G50" s="151"/>
      <c r="H50" s="151"/>
      <c r="I50" s="15"/>
      <c r="J50" s="15"/>
      <c r="K50" s="15"/>
      <c r="L50" s="15"/>
      <c r="M50" s="15"/>
      <c r="N50" s="15"/>
      <c r="O50" s="15"/>
      <c r="P50" s="7"/>
      <c r="Q50" s="7"/>
      <c r="R50" s="5"/>
      <c r="T50" s="7">
        <f t="shared" si="0"/>
        <v>0</v>
      </c>
      <c r="U50" s="7">
        <f t="shared" si="1"/>
        <v>0</v>
      </c>
      <c r="V50" s="7">
        <f t="shared" si="2"/>
        <v>0</v>
      </c>
    </row>
    <row r="51" spans="1:22" x14ac:dyDescent="0.25">
      <c r="A51" s="182">
        <v>44972</v>
      </c>
      <c r="B51" s="14"/>
      <c r="C51" s="6"/>
      <c r="D51" s="185"/>
      <c r="E51" s="15"/>
      <c r="F51" s="151"/>
      <c r="G51" s="151"/>
      <c r="H51" s="151"/>
      <c r="I51" s="15"/>
      <c r="J51" s="15"/>
      <c r="K51" s="15"/>
      <c r="L51" s="15"/>
      <c r="M51" s="15"/>
      <c r="N51" s="15"/>
      <c r="O51" s="15"/>
      <c r="P51" s="7"/>
      <c r="Q51" s="7"/>
      <c r="R51" s="5"/>
      <c r="T51" s="7">
        <f t="shared" si="0"/>
        <v>0</v>
      </c>
      <c r="U51" s="7">
        <f t="shared" si="1"/>
        <v>0</v>
      </c>
      <c r="V51" s="7">
        <f t="shared" si="2"/>
        <v>0</v>
      </c>
    </row>
    <row r="52" spans="1:22" x14ac:dyDescent="0.25">
      <c r="A52" s="182">
        <v>44972</v>
      </c>
      <c r="B52" s="16"/>
      <c r="C52" s="6"/>
      <c r="D52" s="185"/>
      <c r="E52" s="15"/>
      <c r="F52" s="151"/>
      <c r="G52" s="151"/>
      <c r="H52" s="151"/>
      <c r="I52" s="15"/>
      <c r="J52" s="15"/>
      <c r="K52" s="15"/>
      <c r="L52" s="15"/>
      <c r="M52" s="15"/>
      <c r="N52" s="15"/>
      <c r="O52" s="15"/>
      <c r="P52" s="7"/>
      <c r="Q52" s="7"/>
      <c r="R52" s="5"/>
      <c r="T52" s="7">
        <f t="shared" si="0"/>
        <v>0</v>
      </c>
      <c r="U52" s="7">
        <f t="shared" si="1"/>
        <v>0</v>
      </c>
      <c r="V52" s="7">
        <f t="shared" si="2"/>
        <v>0</v>
      </c>
    </row>
    <row r="53" spans="1:22" x14ac:dyDescent="0.25">
      <c r="A53" s="182">
        <v>44972</v>
      </c>
      <c r="B53" s="14"/>
      <c r="C53" s="6"/>
      <c r="D53" s="185"/>
      <c r="E53" s="15"/>
      <c r="F53" s="151"/>
      <c r="G53" s="151"/>
      <c r="H53" s="151"/>
      <c r="I53" s="15"/>
      <c r="J53" s="15"/>
      <c r="K53" s="15"/>
      <c r="L53" s="15"/>
      <c r="M53" s="15"/>
      <c r="N53" s="15"/>
      <c r="O53" s="15"/>
      <c r="P53" s="7"/>
      <c r="Q53" s="7"/>
      <c r="R53" s="5"/>
      <c r="T53" s="7">
        <f t="shared" si="0"/>
        <v>0</v>
      </c>
      <c r="U53" s="7">
        <f t="shared" si="1"/>
        <v>0</v>
      </c>
      <c r="V53" s="7">
        <f t="shared" si="2"/>
        <v>0</v>
      </c>
    </row>
    <row r="54" spans="1:22" x14ac:dyDescent="0.25">
      <c r="A54" s="182">
        <v>44972</v>
      </c>
      <c r="B54" s="16"/>
      <c r="C54" s="6"/>
      <c r="D54" s="185"/>
      <c r="E54" s="15"/>
      <c r="F54" s="151"/>
      <c r="G54" s="151"/>
      <c r="H54" s="151"/>
      <c r="I54" s="15"/>
      <c r="J54" s="15"/>
      <c r="K54" s="15"/>
      <c r="L54" s="15"/>
      <c r="M54" s="15"/>
      <c r="N54" s="15"/>
      <c r="O54" s="15"/>
      <c r="P54" s="7"/>
      <c r="Q54" s="7"/>
      <c r="R54" s="5"/>
      <c r="T54" s="7">
        <f t="shared" si="0"/>
        <v>0</v>
      </c>
      <c r="U54" s="7">
        <f t="shared" si="1"/>
        <v>0</v>
      </c>
      <c r="V54" s="7">
        <f t="shared" si="2"/>
        <v>0</v>
      </c>
    </row>
    <row r="55" spans="1:22" x14ac:dyDescent="0.25">
      <c r="A55" s="182">
        <v>44972</v>
      </c>
      <c r="B55" s="14"/>
      <c r="C55" s="6"/>
      <c r="D55" s="185"/>
      <c r="E55" s="15"/>
      <c r="F55" s="151"/>
      <c r="G55" s="151"/>
      <c r="H55" s="151"/>
      <c r="I55" s="15"/>
      <c r="J55" s="15"/>
      <c r="K55" s="15"/>
      <c r="L55" s="15"/>
      <c r="M55" s="15"/>
      <c r="N55" s="15"/>
      <c r="O55" s="15"/>
      <c r="P55" s="7"/>
      <c r="Q55" s="7"/>
      <c r="R55" s="5"/>
      <c r="T55" s="7">
        <f t="shared" si="0"/>
        <v>0</v>
      </c>
      <c r="U55" s="7">
        <f t="shared" si="1"/>
        <v>0</v>
      </c>
      <c r="V55" s="7">
        <f t="shared" si="2"/>
        <v>0</v>
      </c>
    </row>
    <row r="56" spans="1:22" x14ac:dyDescent="0.25">
      <c r="A56" s="182">
        <v>44972</v>
      </c>
      <c r="B56" s="16"/>
      <c r="C56" s="6"/>
      <c r="D56" s="185"/>
      <c r="E56" s="15"/>
      <c r="F56" s="151"/>
      <c r="G56" s="151"/>
      <c r="H56" s="151"/>
      <c r="I56" s="15"/>
      <c r="J56" s="15"/>
      <c r="K56" s="15"/>
      <c r="L56" s="15"/>
      <c r="M56" s="15"/>
      <c r="N56" s="15"/>
      <c r="O56" s="15"/>
      <c r="P56" s="7"/>
      <c r="Q56" s="7"/>
      <c r="R56" s="5"/>
      <c r="T56" s="7">
        <f t="shared" si="0"/>
        <v>0</v>
      </c>
      <c r="U56" s="7">
        <f t="shared" si="1"/>
        <v>0</v>
      </c>
      <c r="V56" s="7">
        <f t="shared" si="2"/>
        <v>0</v>
      </c>
    </row>
    <row r="57" spans="1:22" x14ac:dyDescent="0.25">
      <c r="A57" s="182">
        <v>44972</v>
      </c>
      <c r="B57" s="14"/>
      <c r="C57" s="6"/>
      <c r="D57" s="185"/>
      <c r="E57" s="15"/>
      <c r="F57" s="151"/>
      <c r="G57" s="151"/>
      <c r="H57" s="151"/>
      <c r="I57" s="15"/>
      <c r="J57" s="15"/>
      <c r="K57" s="15"/>
      <c r="L57" s="15"/>
      <c r="M57" s="15"/>
      <c r="N57" s="15"/>
      <c r="O57" s="15"/>
      <c r="P57" s="7"/>
      <c r="Q57" s="7"/>
      <c r="R57" s="5"/>
      <c r="T57" s="7">
        <f t="shared" si="0"/>
        <v>0</v>
      </c>
      <c r="U57" s="7">
        <f t="shared" si="1"/>
        <v>0</v>
      </c>
      <c r="V57" s="7">
        <f t="shared" si="2"/>
        <v>0</v>
      </c>
    </row>
    <row r="58" spans="1:22" x14ac:dyDescent="0.25">
      <c r="A58" s="182">
        <v>44972</v>
      </c>
      <c r="B58" s="16"/>
      <c r="C58" s="6"/>
      <c r="D58" s="185"/>
      <c r="E58" s="15"/>
      <c r="F58" s="151"/>
      <c r="G58" s="151"/>
      <c r="H58" s="151"/>
      <c r="I58" s="15"/>
      <c r="J58" s="15"/>
      <c r="K58" s="15"/>
      <c r="L58" s="15"/>
      <c r="M58" s="15"/>
      <c r="N58" s="15"/>
      <c r="O58" s="15"/>
      <c r="P58" s="7"/>
      <c r="Q58" s="7"/>
      <c r="R58" s="5"/>
      <c r="T58" s="7">
        <f t="shared" si="0"/>
        <v>0</v>
      </c>
      <c r="U58" s="7">
        <f t="shared" si="1"/>
        <v>0</v>
      </c>
      <c r="V58" s="7">
        <f t="shared" si="2"/>
        <v>0</v>
      </c>
    </row>
    <row r="59" spans="1:22" x14ac:dyDescent="0.25">
      <c r="A59" s="182">
        <v>44972</v>
      </c>
      <c r="B59" s="14"/>
      <c r="C59" s="6"/>
      <c r="D59" s="185"/>
      <c r="E59" s="15"/>
      <c r="F59" s="151"/>
      <c r="G59" s="151"/>
      <c r="H59" s="151"/>
      <c r="I59" s="15"/>
      <c r="J59" s="15"/>
      <c r="K59" s="15"/>
      <c r="L59" s="15"/>
      <c r="M59" s="15"/>
      <c r="N59" s="15"/>
      <c r="O59" s="15"/>
      <c r="P59" s="7"/>
      <c r="Q59" s="7"/>
      <c r="R59" s="5"/>
      <c r="T59" s="7">
        <f t="shared" si="0"/>
        <v>0</v>
      </c>
      <c r="U59" s="7">
        <f t="shared" si="1"/>
        <v>0</v>
      </c>
      <c r="V59" s="7">
        <f t="shared" si="2"/>
        <v>0</v>
      </c>
    </row>
    <row r="60" spans="1:22" x14ac:dyDescent="0.25">
      <c r="A60" s="182">
        <v>44972</v>
      </c>
      <c r="B60" s="16"/>
      <c r="C60" s="6"/>
      <c r="D60" s="18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7"/>
      <c r="Q60" s="7"/>
      <c r="R60" s="5"/>
      <c r="T60" s="7">
        <f t="shared" si="0"/>
        <v>0</v>
      </c>
      <c r="U60" s="7">
        <f t="shared" si="1"/>
        <v>0</v>
      </c>
      <c r="V60" s="7">
        <f t="shared" si="2"/>
        <v>0</v>
      </c>
    </row>
    <row r="61" spans="1:22" x14ac:dyDescent="0.25">
      <c r="A61" s="182">
        <v>44972</v>
      </c>
      <c r="B61" s="16"/>
      <c r="C61" s="6"/>
      <c r="D61" s="18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7"/>
      <c r="Q61" s="7"/>
      <c r="R61" s="5"/>
      <c r="T61" s="7">
        <f t="shared" si="0"/>
        <v>0</v>
      </c>
      <c r="U61" s="7">
        <f t="shared" si="1"/>
        <v>0</v>
      </c>
      <c r="V61" s="7">
        <f t="shared" si="2"/>
        <v>0</v>
      </c>
    </row>
    <row r="62" spans="1:22" x14ac:dyDescent="0.25">
      <c r="A62" s="182">
        <v>44972</v>
      </c>
      <c r="B62" s="16"/>
      <c r="C62" s="6"/>
      <c r="D62" s="18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7"/>
      <c r="Q62" s="7"/>
      <c r="R62" s="5"/>
      <c r="T62" s="7">
        <f t="shared" si="0"/>
        <v>0</v>
      </c>
      <c r="U62" s="7">
        <f t="shared" si="1"/>
        <v>0</v>
      </c>
      <c r="V62" s="7">
        <f t="shared" si="2"/>
        <v>0</v>
      </c>
    </row>
    <row r="63" spans="1:22" x14ac:dyDescent="0.25">
      <c r="A63" s="182">
        <v>44972</v>
      </c>
      <c r="B63" s="16"/>
      <c r="C63" s="6"/>
      <c r="D63" s="18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7"/>
      <c r="Q63" s="7"/>
      <c r="R63" s="5"/>
      <c r="T63" s="7">
        <f t="shared" si="0"/>
        <v>0</v>
      </c>
      <c r="U63" s="7">
        <f t="shared" si="1"/>
        <v>0</v>
      </c>
      <c r="V63" s="7">
        <f t="shared" si="2"/>
        <v>0</v>
      </c>
    </row>
    <row r="64" spans="1:22" x14ac:dyDescent="0.25">
      <c r="A64" s="182">
        <v>44972</v>
      </c>
      <c r="B64" s="14"/>
      <c r="C64" s="6"/>
      <c r="D64" s="18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7"/>
      <c r="Q64" s="7"/>
      <c r="R64" s="5"/>
      <c r="T64" s="7">
        <f t="shared" si="0"/>
        <v>0</v>
      </c>
      <c r="U64" s="7">
        <f t="shared" si="1"/>
        <v>0</v>
      </c>
      <c r="V64" s="7">
        <f t="shared" si="2"/>
        <v>0</v>
      </c>
    </row>
    <row r="65" spans="1:22" x14ac:dyDescent="0.25">
      <c r="A65" s="182">
        <v>44972</v>
      </c>
      <c r="B65" s="14"/>
      <c r="C65" s="6"/>
      <c r="D65" s="18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7"/>
      <c r="Q65" s="7"/>
      <c r="R65" s="5"/>
      <c r="T65" s="7">
        <f t="shared" si="0"/>
        <v>0</v>
      </c>
      <c r="U65" s="7">
        <f t="shared" si="1"/>
        <v>0</v>
      </c>
      <c r="V65" s="7">
        <f t="shared" si="2"/>
        <v>0</v>
      </c>
    </row>
    <row r="66" spans="1:22" x14ac:dyDescent="0.25">
      <c r="A66" s="182">
        <v>44972</v>
      </c>
      <c r="B66" s="14"/>
      <c r="C66" s="6"/>
      <c r="D66" s="18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7"/>
      <c r="Q66" s="7"/>
      <c r="R66" s="5"/>
      <c r="T66" s="7">
        <f t="shared" si="0"/>
        <v>0</v>
      </c>
      <c r="U66" s="7">
        <f t="shared" si="1"/>
        <v>0</v>
      </c>
      <c r="V66" s="7">
        <f t="shared" si="2"/>
        <v>0</v>
      </c>
    </row>
    <row r="67" spans="1:22" x14ac:dyDescent="0.25">
      <c r="A67" s="182">
        <v>44972</v>
      </c>
      <c r="B67" s="16"/>
      <c r="C67" s="6"/>
      <c r="D67" s="18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7"/>
      <c r="Q67" s="7"/>
      <c r="R67" s="5"/>
      <c r="T67" s="7">
        <f t="shared" si="0"/>
        <v>0</v>
      </c>
      <c r="U67" s="7">
        <f t="shared" si="1"/>
        <v>0</v>
      </c>
      <c r="V67" s="7">
        <f t="shared" si="2"/>
        <v>0</v>
      </c>
    </row>
    <row r="68" spans="1:22" x14ac:dyDescent="0.25">
      <c r="A68" s="182">
        <v>44972</v>
      </c>
      <c r="B68" s="14"/>
      <c r="C68" s="6"/>
      <c r="D68" s="18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7"/>
      <c r="Q68" s="7"/>
      <c r="R68" s="5"/>
      <c r="T68" s="7">
        <f t="shared" ref="T68:T105" si="3">COUNTIF(E68,"SSB")</f>
        <v>0</v>
      </c>
      <c r="U68" s="7">
        <f t="shared" ref="U68:U105" si="4">COUNTIF(E68,"CW")</f>
        <v>0</v>
      </c>
      <c r="V68" s="7">
        <f t="shared" ref="V68:V105" si="5">COUNTIF(E68,"RTTY")</f>
        <v>0</v>
      </c>
    </row>
    <row r="69" spans="1:22" x14ac:dyDescent="0.25">
      <c r="A69" s="182">
        <v>44972</v>
      </c>
      <c r="B69" s="16"/>
      <c r="C69" s="6"/>
      <c r="D69" s="18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7"/>
      <c r="Q69" s="7"/>
      <c r="R69" s="5"/>
      <c r="T69" s="7">
        <f t="shared" si="3"/>
        <v>0</v>
      </c>
      <c r="U69" s="7">
        <f t="shared" si="4"/>
        <v>0</v>
      </c>
      <c r="V69" s="7">
        <f t="shared" si="5"/>
        <v>0</v>
      </c>
    </row>
    <row r="70" spans="1:22" x14ac:dyDescent="0.25">
      <c r="A70" s="182">
        <v>44972</v>
      </c>
      <c r="B70" s="16"/>
      <c r="C70" s="6"/>
      <c r="D70" s="18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7"/>
      <c r="Q70" s="7"/>
      <c r="R70" s="5"/>
      <c r="T70" s="7">
        <f t="shared" si="3"/>
        <v>0</v>
      </c>
      <c r="U70" s="7">
        <f t="shared" si="4"/>
        <v>0</v>
      </c>
      <c r="V70" s="7">
        <f t="shared" si="5"/>
        <v>0</v>
      </c>
    </row>
    <row r="71" spans="1:22" x14ac:dyDescent="0.25">
      <c r="A71" s="182">
        <v>44972</v>
      </c>
      <c r="B71" s="14"/>
      <c r="C71" s="6"/>
      <c r="D71" s="18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7"/>
      <c r="Q71" s="7"/>
      <c r="R71" s="5"/>
      <c r="T71" s="7">
        <f t="shared" si="3"/>
        <v>0</v>
      </c>
      <c r="U71" s="7">
        <f t="shared" si="4"/>
        <v>0</v>
      </c>
      <c r="V71" s="7">
        <f t="shared" si="5"/>
        <v>0</v>
      </c>
    </row>
    <row r="72" spans="1:22" x14ac:dyDescent="0.25">
      <c r="A72" s="182">
        <v>44972</v>
      </c>
      <c r="B72" s="14"/>
      <c r="C72" s="6"/>
      <c r="D72" s="18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7"/>
      <c r="Q72" s="7"/>
      <c r="R72" s="5"/>
      <c r="T72" s="7">
        <f t="shared" si="3"/>
        <v>0</v>
      </c>
      <c r="U72" s="7">
        <f t="shared" si="4"/>
        <v>0</v>
      </c>
      <c r="V72" s="7">
        <f t="shared" si="5"/>
        <v>0</v>
      </c>
    </row>
    <row r="73" spans="1:22" x14ac:dyDescent="0.25">
      <c r="A73" s="182">
        <v>44972</v>
      </c>
      <c r="B73" s="16"/>
      <c r="C73" s="6"/>
      <c r="D73" s="18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7"/>
      <c r="Q73" s="7"/>
      <c r="R73" s="5"/>
      <c r="T73" s="7">
        <f t="shared" si="3"/>
        <v>0</v>
      </c>
      <c r="U73" s="7">
        <f t="shared" si="4"/>
        <v>0</v>
      </c>
      <c r="V73" s="7">
        <f t="shared" si="5"/>
        <v>0</v>
      </c>
    </row>
    <row r="74" spans="1:22" x14ac:dyDescent="0.25">
      <c r="A74" s="182">
        <v>44972</v>
      </c>
      <c r="B74" s="14"/>
      <c r="C74" s="6"/>
      <c r="D74" s="18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7"/>
      <c r="Q74" s="7"/>
      <c r="R74" s="5"/>
      <c r="T74" s="7">
        <f t="shared" si="3"/>
        <v>0</v>
      </c>
      <c r="U74" s="7">
        <f t="shared" si="4"/>
        <v>0</v>
      </c>
      <c r="V74" s="7">
        <f t="shared" si="5"/>
        <v>0</v>
      </c>
    </row>
    <row r="75" spans="1:22" x14ac:dyDescent="0.25">
      <c r="A75" s="182">
        <v>44972</v>
      </c>
      <c r="B75" s="14"/>
      <c r="C75" s="6"/>
      <c r="D75" s="18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7"/>
      <c r="Q75" s="7"/>
      <c r="R75" s="5"/>
      <c r="T75" s="7">
        <f t="shared" si="3"/>
        <v>0</v>
      </c>
      <c r="U75" s="7">
        <f t="shared" si="4"/>
        <v>0</v>
      </c>
      <c r="V75" s="7">
        <f t="shared" si="5"/>
        <v>0</v>
      </c>
    </row>
    <row r="76" spans="1:22" x14ac:dyDescent="0.25">
      <c r="A76" s="182">
        <v>44972</v>
      </c>
      <c r="B76" s="14"/>
      <c r="C76" s="6"/>
      <c r="D76" s="18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7"/>
      <c r="Q76" s="7"/>
      <c r="R76" s="5"/>
      <c r="T76" s="7">
        <f t="shared" si="3"/>
        <v>0</v>
      </c>
      <c r="U76" s="7">
        <f t="shared" si="4"/>
        <v>0</v>
      </c>
      <c r="V76" s="7">
        <f t="shared" si="5"/>
        <v>0</v>
      </c>
    </row>
    <row r="77" spans="1:22" x14ac:dyDescent="0.25">
      <c r="A77" s="182">
        <v>44972</v>
      </c>
      <c r="B77" s="16"/>
      <c r="C77" s="6"/>
      <c r="D77" s="18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7"/>
      <c r="Q77" s="7"/>
      <c r="R77" s="5"/>
      <c r="T77" s="7">
        <f t="shared" si="3"/>
        <v>0</v>
      </c>
      <c r="U77" s="7">
        <f t="shared" si="4"/>
        <v>0</v>
      </c>
      <c r="V77" s="7">
        <f t="shared" si="5"/>
        <v>0</v>
      </c>
    </row>
    <row r="78" spans="1:22" x14ac:dyDescent="0.25">
      <c r="A78" s="182">
        <v>44972</v>
      </c>
      <c r="B78" s="14"/>
      <c r="C78" s="6"/>
      <c r="D78" s="18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7"/>
      <c r="Q78" s="7"/>
      <c r="R78" s="5"/>
      <c r="T78" s="7">
        <f t="shared" si="3"/>
        <v>0</v>
      </c>
      <c r="U78" s="7">
        <f t="shared" si="4"/>
        <v>0</v>
      </c>
      <c r="V78" s="7">
        <f t="shared" si="5"/>
        <v>0</v>
      </c>
    </row>
    <row r="79" spans="1:22" x14ac:dyDescent="0.25">
      <c r="A79" s="182">
        <v>44972</v>
      </c>
      <c r="B79" s="16"/>
      <c r="C79" s="6"/>
      <c r="D79" s="18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7"/>
      <c r="Q79" s="7"/>
      <c r="R79" s="5"/>
      <c r="T79" s="7">
        <f t="shared" si="3"/>
        <v>0</v>
      </c>
      <c r="U79" s="7">
        <f t="shared" si="4"/>
        <v>0</v>
      </c>
      <c r="V79" s="7">
        <f t="shared" si="5"/>
        <v>0</v>
      </c>
    </row>
    <row r="80" spans="1:22" x14ac:dyDescent="0.25">
      <c r="A80" s="182">
        <v>44972</v>
      </c>
      <c r="B80" s="14"/>
      <c r="C80" s="6"/>
      <c r="D80" s="18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7"/>
      <c r="Q80" s="7"/>
      <c r="R80" s="5"/>
      <c r="T80" s="7">
        <f t="shared" si="3"/>
        <v>0</v>
      </c>
      <c r="U80" s="7">
        <f t="shared" si="4"/>
        <v>0</v>
      </c>
      <c r="V80" s="7">
        <f t="shared" si="5"/>
        <v>0</v>
      </c>
    </row>
    <row r="81" spans="1:22" x14ac:dyDescent="0.25">
      <c r="A81" s="182">
        <v>44972</v>
      </c>
      <c r="B81" s="16"/>
      <c r="C81" s="6"/>
      <c r="D81" s="18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7"/>
      <c r="Q81" s="7"/>
      <c r="R81" s="5"/>
      <c r="T81" s="7">
        <f t="shared" si="3"/>
        <v>0</v>
      </c>
      <c r="U81" s="7">
        <f t="shared" si="4"/>
        <v>0</v>
      </c>
      <c r="V81" s="7">
        <f t="shared" si="5"/>
        <v>0</v>
      </c>
    </row>
    <row r="82" spans="1:22" x14ac:dyDescent="0.25">
      <c r="A82" s="182">
        <v>44972</v>
      </c>
      <c r="B82" s="14"/>
      <c r="C82" s="6"/>
      <c r="D82" s="18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7"/>
      <c r="Q82" s="7"/>
      <c r="R82" s="5"/>
      <c r="T82" s="7">
        <f t="shared" si="3"/>
        <v>0</v>
      </c>
      <c r="U82" s="7">
        <f t="shared" si="4"/>
        <v>0</v>
      </c>
      <c r="V82" s="7">
        <f t="shared" si="5"/>
        <v>0</v>
      </c>
    </row>
    <row r="83" spans="1:22" x14ac:dyDescent="0.25">
      <c r="A83" s="182">
        <v>44972</v>
      </c>
      <c r="B83" s="14"/>
      <c r="C83" s="6"/>
      <c r="D83" s="18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7"/>
      <c r="Q83" s="7"/>
      <c r="R83" s="5"/>
      <c r="T83" s="7">
        <f t="shared" si="3"/>
        <v>0</v>
      </c>
      <c r="U83" s="7">
        <f t="shared" si="4"/>
        <v>0</v>
      </c>
      <c r="V83" s="7">
        <f t="shared" si="5"/>
        <v>0</v>
      </c>
    </row>
    <row r="84" spans="1:22" x14ac:dyDescent="0.25">
      <c r="A84" s="182">
        <v>44972</v>
      </c>
      <c r="B84" s="16"/>
      <c r="C84" s="6"/>
      <c r="D84" s="18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7"/>
      <c r="Q84" s="7"/>
      <c r="R84" s="5"/>
      <c r="T84" s="7">
        <f t="shared" si="3"/>
        <v>0</v>
      </c>
      <c r="U84" s="7">
        <f t="shared" si="4"/>
        <v>0</v>
      </c>
      <c r="V84" s="7">
        <f t="shared" si="5"/>
        <v>0</v>
      </c>
    </row>
    <row r="85" spans="1:22" x14ac:dyDescent="0.25">
      <c r="A85" s="182">
        <v>44972</v>
      </c>
      <c r="B85" s="16"/>
      <c r="C85" s="6"/>
      <c r="D85" s="18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7"/>
      <c r="Q85" s="7"/>
      <c r="R85" s="5"/>
      <c r="T85" s="7">
        <f t="shared" si="3"/>
        <v>0</v>
      </c>
      <c r="U85" s="7">
        <f t="shared" si="4"/>
        <v>0</v>
      </c>
      <c r="V85" s="7">
        <f t="shared" si="5"/>
        <v>0</v>
      </c>
    </row>
    <row r="86" spans="1:22" x14ac:dyDescent="0.25">
      <c r="A86" s="182">
        <v>44972</v>
      </c>
      <c r="B86" s="16"/>
      <c r="C86" s="6"/>
      <c r="D86" s="18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7"/>
      <c r="Q86" s="7"/>
      <c r="R86" s="5"/>
      <c r="T86" s="7">
        <f t="shared" si="3"/>
        <v>0</v>
      </c>
      <c r="U86" s="7">
        <f t="shared" si="4"/>
        <v>0</v>
      </c>
      <c r="V86" s="7">
        <f t="shared" si="5"/>
        <v>0</v>
      </c>
    </row>
    <row r="87" spans="1:22" x14ac:dyDescent="0.25">
      <c r="A87" s="182">
        <v>44972</v>
      </c>
      <c r="B87" s="14"/>
      <c r="C87" s="6"/>
      <c r="D87" s="18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7"/>
      <c r="Q87" s="7"/>
      <c r="R87" s="5"/>
      <c r="T87" s="7">
        <f t="shared" si="3"/>
        <v>0</v>
      </c>
      <c r="U87" s="7">
        <f t="shared" si="4"/>
        <v>0</v>
      </c>
      <c r="V87" s="7">
        <f t="shared" si="5"/>
        <v>0</v>
      </c>
    </row>
    <row r="88" spans="1:22" x14ac:dyDescent="0.25">
      <c r="A88" s="182">
        <v>44972</v>
      </c>
      <c r="B88" s="14"/>
      <c r="C88" s="6"/>
      <c r="D88" s="18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7"/>
      <c r="Q88" s="7"/>
      <c r="R88" s="5"/>
      <c r="T88" s="7">
        <f t="shared" si="3"/>
        <v>0</v>
      </c>
      <c r="U88" s="7">
        <f t="shared" si="4"/>
        <v>0</v>
      </c>
      <c r="V88" s="7">
        <f t="shared" si="5"/>
        <v>0</v>
      </c>
    </row>
    <row r="89" spans="1:22" x14ac:dyDescent="0.25">
      <c r="A89" s="182">
        <v>44972</v>
      </c>
      <c r="B89" s="14"/>
      <c r="C89" s="6"/>
      <c r="D89" s="18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7"/>
      <c r="Q89" s="7"/>
      <c r="R89" s="5"/>
      <c r="T89" s="7">
        <f t="shared" si="3"/>
        <v>0</v>
      </c>
      <c r="U89" s="7">
        <f t="shared" si="4"/>
        <v>0</v>
      </c>
      <c r="V89" s="7">
        <f t="shared" si="5"/>
        <v>0</v>
      </c>
    </row>
    <row r="90" spans="1:22" x14ac:dyDescent="0.25">
      <c r="A90" s="182">
        <v>44972</v>
      </c>
      <c r="B90" s="14"/>
      <c r="C90" s="6"/>
      <c r="D90" s="18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7"/>
      <c r="Q90" s="7"/>
      <c r="R90" s="5"/>
      <c r="T90" s="7">
        <f t="shared" si="3"/>
        <v>0</v>
      </c>
      <c r="U90" s="7">
        <f t="shared" si="4"/>
        <v>0</v>
      </c>
      <c r="V90" s="7">
        <f t="shared" si="5"/>
        <v>0</v>
      </c>
    </row>
    <row r="91" spans="1:22" x14ac:dyDescent="0.25">
      <c r="A91" s="182">
        <v>44972</v>
      </c>
      <c r="B91" s="16"/>
      <c r="C91" s="6"/>
      <c r="D91" s="18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7"/>
      <c r="Q91" s="7"/>
      <c r="R91" s="5"/>
      <c r="T91" s="7">
        <f t="shared" si="3"/>
        <v>0</v>
      </c>
      <c r="U91" s="7">
        <f t="shared" si="4"/>
        <v>0</v>
      </c>
      <c r="V91" s="7">
        <f t="shared" si="5"/>
        <v>0</v>
      </c>
    </row>
    <row r="92" spans="1:22" x14ac:dyDescent="0.25">
      <c r="A92" s="182">
        <v>44972</v>
      </c>
      <c r="B92" s="14"/>
      <c r="C92" s="6"/>
      <c r="D92" s="18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7"/>
      <c r="Q92" s="7"/>
      <c r="R92" s="5"/>
      <c r="T92" s="7">
        <f t="shared" si="3"/>
        <v>0</v>
      </c>
      <c r="U92" s="7">
        <f t="shared" si="4"/>
        <v>0</v>
      </c>
      <c r="V92" s="7">
        <f t="shared" si="5"/>
        <v>0</v>
      </c>
    </row>
    <row r="93" spans="1:22" x14ac:dyDescent="0.25">
      <c r="A93" s="182">
        <v>44972</v>
      </c>
      <c r="B93" s="16"/>
      <c r="C93" s="6"/>
      <c r="D93" s="18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7"/>
      <c r="Q93" s="7"/>
      <c r="R93" s="5"/>
      <c r="T93" s="7">
        <f t="shared" si="3"/>
        <v>0</v>
      </c>
      <c r="U93" s="7">
        <f t="shared" si="4"/>
        <v>0</v>
      </c>
      <c r="V93" s="7">
        <f t="shared" si="5"/>
        <v>0</v>
      </c>
    </row>
    <row r="94" spans="1:22" x14ac:dyDescent="0.25">
      <c r="A94" s="182">
        <v>44972</v>
      </c>
      <c r="B94" s="14"/>
      <c r="C94" s="6"/>
      <c r="D94" s="18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7"/>
      <c r="Q94" s="7"/>
      <c r="R94" s="5"/>
      <c r="T94" s="7">
        <f t="shared" si="3"/>
        <v>0</v>
      </c>
      <c r="U94" s="7">
        <f t="shared" si="4"/>
        <v>0</v>
      </c>
      <c r="V94" s="7">
        <f t="shared" si="5"/>
        <v>0</v>
      </c>
    </row>
    <row r="95" spans="1:22" x14ac:dyDescent="0.25">
      <c r="A95" s="182">
        <v>44972</v>
      </c>
      <c r="B95" s="14"/>
      <c r="C95" s="6"/>
      <c r="D95" s="18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7"/>
      <c r="Q95" s="7"/>
      <c r="R95" s="5"/>
      <c r="T95" s="7">
        <f t="shared" si="3"/>
        <v>0</v>
      </c>
      <c r="U95" s="7">
        <f t="shared" si="4"/>
        <v>0</v>
      </c>
      <c r="V95" s="7">
        <f t="shared" si="5"/>
        <v>0</v>
      </c>
    </row>
    <row r="96" spans="1:22" x14ac:dyDescent="0.25">
      <c r="A96" s="182">
        <v>44972</v>
      </c>
      <c r="B96" s="16"/>
      <c r="C96" s="6"/>
      <c r="D96" s="18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7"/>
      <c r="Q96" s="7"/>
      <c r="R96" s="5"/>
      <c r="T96" s="7">
        <f t="shared" si="3"/>
        <v>0</v>
      </c>
      <c r="U96" s="7">
        <f t="shared" si="4"/>
        <v>0</v>
      </c>
      <c r="V96" s="7">
        <f t="shared" si="5"/>
        <v>0</v>
      </c>
    </row>
    <row r="97" spans="1:22" x14ac:dyDescent="0.25">
      <c r="A97" s="182">
        <v>44972</v>
      </c>
      <c r="B97" s="16"/>
      <c r="C97" s="6"/>
      <c r="D97" s="18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7"/>
      <c r="Q97" s="7"/>
      <c r="R97" s="5"/>
      <c r="T97" s="7">
        <f t="shared" si="3"/>
        <v>0</v>
      </c>
      <c r="U97" s="7">
        <f t="shared" si="4"/>
        <v>0</v>
      </c>
      <c r="V97" s="7">
        <f t="shared" si="5"/>
        <v>0</v>
      </c>
    </row>
    <row r="98" spans="1:22" x14ac:dyDescent="0.25">
      <c r="A98" s="182">
        <v>44972</v>
      </c>
      <c r="B98" s="14"/>
      <c r="C98" s="6"/>
      <c r="D98" s="18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7"/>
      <c r="Q98" s="7"/>
      <c r="R98" s="5"/>
      <c r="T98" s="7">
        <f t="shared" si="3"/>
        <v>0</v>
      </c>
      <c r="U98" s="7">
        <f t="shared" si="4"/>
        <v>0</v>
      </c>
      <c r="V98" s="7">
        <f t="shared" si="5"/>
        <v>0</v>
      </c>
    </row>
    <row r="99" spans="1:22" x14ac:dyDescent="0.25">
      <c r="A99" s="182">
        <v>44972</v>
      </c>
      <c r="B99" s="16"/>
      <c r="C99" s="6"/>
      <c r="D99" s="18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7"/>
      <c r="Q99" s="7"/>
      <c r="R99" s="5"/>
      <c r="T99" s="7">
        <f t="shared" si="3"/>
        <v>0</v>
      </c>
      <c r="U99" s="7">
        <f t="shared" si="4"/>
        <v>0</v>
      </c>
      <c r="V99" s="7">
        <f t="shared" si="5"/>
        <v>0</v>
      </c>
    </row>
    <row r="100" spans="1:22" x14ac:dyDescent="0.25">
      <c r="A100" s="182">
        <v>44972</v>
      </c>
      <c r="B100" s="14"/>
      <c r="C100" s="6"/>
      <c r="D100" s="18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7"/>
      <c r="Q100" s="7"/>
      <c r="R100" s="5"/>
      <c r="T100" s="7">
        <f t="shared" si="3"/>
        <v>0</v>
      </c>
      <c r="U100" s="7">
        <f t="shared" si="4"/>
        <v>0</v>
      </c>
      <c r="V100" s="7">
        <f t="shared" si="5"/>
        <v>0</v>
      </c>
    </row>
    <row r="101" spans="1:22" x14ac:dyDescent="0.25">
      <c r="A101" s="182">
        <v>44972</v>
      </c>
      <c r="B101" s="14"/>
      <c r="C101" s="6"/>
      <c r="D101" s="18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7"/>
      <c r="Q101" s="7"/>
      <c r="R101" s="5"/>
      <c r="T101" s="7">
        <f t="shared" si="3"/>
        <v>0</v>
      </c>
      <c r="U101" s="7">
        <f t="shared" si="4"/>
        <v>0</v>
      </c>
      <c r="V101" s="7">
        <f t="shared" si="5"/>
        <v>0</v>
      </c>
    </row>
    <row r="102" spans="1:22" x14ac:dyDescent="0.25">
      <c r="A102" s="182">
        <v>44972</v>
      </c>
      <c r="B102" s="14"/>
      <c r="C102" s="6"/>
      <c r="D102" s="18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7"/>
      <c r="Q102" s="7"/>
      <c r="R102" s="5"/>
      <c r="T102" s="7">
        <f t="shared" si="3"/>
        <v>0</v>
      </c>
      <c r="U102" s="7">
        <f t="shared" si="4"/>
        <v>0</v>
      </c>
      <c r="V102" s="7">
        <f t="shared" si="5"/>
        <v>0</v>
      </c>
    </row>
    <row r="103" spans="1:22" x14ac:dyDescent="0.25">
      <c r="A103" s="182">
        <v>44972</v>
      </c>
      <c r="B103" s="14"/>
      <c r="C103" s="6"/>
      <c r="D103" s="18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7"/>
      <c r="Q103" s="7"/>
      <c r="R103" s="5"/>
      <c r="T103" s="7">
        <f t="shared" si="3"/>
        <v>0</v>
      </c>
      <c r="U103" s="7">
        <f t="shared" si="4"/>
        <v>0</v>
      </c>
      <c r="V103" s="7">
        <f t="shared" si="5"/>
        <v>0</v>
      </c>
    </row>
    <row r="104" spans="1:22" x14ac:dyDescent="0.25">
      <c r="A104" s="182">
        <v>44972</v>
      </c>
      <c r="B104" s="16"/>
      <c r="C104" s="6"/>
      <c r="D104" s="18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7"/>
      <c r="Q104" s="7"/>
      <c r="R104" s="5"/>
      <c r="T104" s="7">
        <f t="shared" si="3"/>
        <v>0</v>
      </c>
      <c r="U104" s="7">
        <f t="shared" si="4"/>
        <v>0</v>
      </c>
      <c r="V104" s="7">
        <f t="shared" si="5"/>
        <v>0</v>
      </c>
    </row>
    <row r="105" spans="1:22" x14ac:dyDescent="0.25">
      <c r="A105" s="182">
        <v>44972</v>
      </c>
      <c r="B105" s="16"/>
      <c r="C105" s="6"/>
      <c r="D105" s="185"/>
      <c r="E105" s="6"/>
      <c r="F105" s="17"/>
      <c r="G105" s="17"/>
      <c r="H105" s="17"/>
      <c r="I105" s="8"/>
      <c r="J105" s="8"/>
      <c r="K105" s="8"/>
      <c r="L105" s="17"/>
      <c r="M105" s="17"/>
      <c r="N105" s="17"/>
      <c r="O105" s="6"/>
      <c r="P105" s="7"/>
      <c r="Q105" s="7"/>
      <c r="R105" s="5"/>
      <c r="T105" s="7">
        <f t="shared" si="3"/>
        <v>0</v>
      </c>
      <c r="U105" s="7">
        <f t="shared" si="4"/>
        <v>0</v>
      </c>
      <c r="V105" s="7">
        <f t="shared" si="5"/>
        <v>0</v>
      </c>
    </row>
  </sheetData>
  <mergeCells count="11">
    <mergeCell ref="L1:L2"/>
    <mergeCell ref="N1:N2"/>
    <mergeCell ref="O1:O2"/>
    <mergeCell ref="A1:A2"/>
    <mergeCell ref="B1:B2"/>
    <mergeCell ref="C1:C2"/>
    <mergeCell ref="D1:D2"/>
    <mergeCell ref="E1:E2"/>
    <mergeCell ref="M1:M2"/>
    <mergeCell ref="F1:H1"/>
    <mergeCell ref="I1:K1"/>
  </mergeCells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F71D2-51A7-4497-A550-55D08DAEFD8B}">
  <sheetPr>
    <tabColor rgb="FFFFC000"/>
  </sheetPr>
  <dimension ref="A1:V1670"/>
  <sheetViews>
    <sheetView workbookViewId="0">
      <selection activeCell="F2" sqref="F2:K2"/>
    </sheetView>
  </sheetViews>
  <sheetFormatPr defaultRowHeight="15.75" x14ac:dyDescent="0.25"/>
  <cols>
    <col min="1" max="3" width="13.7109375" style="7" customWidth="1"/>
    <col min="4" max="4" width="13.7109375" style="80" customWidth="1"/>
    <col min="5" max="5" width="13.7109375" style="5" customWidth="1"/>
    <col min="6" max="8" width="13.7109375" style="7" customWidth="1"/>
    <col min="9" max="11" width="13.7109375" style="19" customWidth="1"/>
    <col min="12" max="14" width="13.7109375" style="7" customWidth="1"/>
    <col min="15" max="15" width="13.7109375" style="5" customWidth="1"/>
    <col min="16" max="16" width="8.85546875" style="7" customWidth="1"/>
    <col min="17" max="18" width="13.7109375" style="7" customWidth="1"/>
    <col min="19" max="19" width="8.85546875" style="7" customWidth="1"/>
    <col min="20" max="20" width="10" style="9" hidden="1" customWidth="1"/>
    <col min="21" max="21" width="9.140625" style="9" hidden="1" customWidth="1"/>
    <col min="22" max="22" width="0" style="9" hidden="1" customWidth="1"/>
  </cols>
  <sheetData>
    <row r="1" spans="1:22" ht="17.25" customHeight="1" thickBot="1" x14ac:dyDescent="0.3">
      <c r="A1" s="223" t="s">
        <v>1</v>
      </c>
      <c r="B1" s="223" t="s">
        <v>2</v>
      </c>
      <c r="C1" s="223" t="s">
        <v>0</v>
      </c>
      <c r="D1" s="225" t="s">
        <v>7</v>
      </c>
      <c r="E1" s="227" t="s">
        <v>26</v>
      </c>
      <c r="F1" s="230" t="s">
        <v>5</v>
      </c>
      <c r="G1" s="230"/>
      <c r="H1" s="230"/>
      <c r="I1" s="230" t="s">
        <v>30</v>
      </c>
      <c r="J1" s="230"/>
      <c r="K1" s="230"/>
      <c r="L1" s="217" t="s">
        <v>29</v>
      </c>
      <c r="M1" s="219" t="s">
        <v>20</v>
      </c>
      <c r="N1" s="219" t="s">
        <v>21</v>
      </c>
      <c r="O1" s="221" t="s">
        <v>23</v>
      </c>
      <c r="P1" s="10"/>
      <c r="Q1" s="150" t="s">
        <v>6</v>
      </c>
      <c r="R1" s="11">
        <f>SUM(R3+R4+R5)</f>
        <v>0</v>
      </c>
      <c r="S1" s="88"/>
      <c r="T1" s="171" t="s">
        <v>3</v>
      </c>
      <c r="U1" s="171" t="s">
        <v>4</v>
      </c>
      <c r="V1" s="172" t="s">
        <v>27</v>
      </c>
    </row>
    <row r="2" spans="1:22" x14ac:dyDescent="0.25">
      <c r="A2" s="219"/>
      <c r="B2" s="224"/>
      <c r="C2" s="224"/>
      <c r="D2" s="226"/>
      <c r="E2" s="228"/>
      <c r="F2" s="152" t="s">
        <v>174</v>
      </c>
      <c r="G2" s="152" t="s">
        <v>32</v>
      </c>
      <c r="H2" s="152" t="s">
        <v>31</v>
      </c>
      <c r="I2" s="152" t="s">
        <v>174</v>
      </c>
      <c r="J2" s="152" t="s">
        <v>8</v>
      </c>
      <c r="K2" s="152" t="s">
        <v>22</v>
      </c>
      <c r="L2" s="218"/>
      <c r="M2" s="229"/>
      <c r="N2" s="220"/>
      <c r="O2" s="222"/>
      <c r="P2" s="12"/>
      <c r="Q2" s="12"/>
      <c r="R2" s="12"/>
      <c r="S2" s="88"/>
      <c r="T2" s="8">
        <f>SUM(T3:T105)</f>
        <v>0</v>
      </c>
      <c r="U2" s="8">
        <f>SUM(U3:U105)</f>
        <v>0</v>
      </c>
      <c r="V2" s="8">
        <f>SUM(V3:V105)</f>
        <v>0</v>
      </c>
    </row>
    <row r="3" spans="1:22" x14ac:dyDescent="0.25">
      <c r="A3" s="182">
        <v>45063</v>
      </c>
      <c r="B3" s="153"/>
      <c r="D3" s="183"/>
      <c r="E3" s="166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0"/>
      <c r="Q3" s="176" t="s">
        <v>11</v>
      </c>
      <c r="R3" s="166">
        <f>SUM(L3:L105)</f>
        <v>0</v>
      </c>
      <c r="S3" s="88"/>
      <c r="T3" s="9">
        <f>COUNTIF(E3,"SSB")</f>
        <v>0</v>
      </c>
      <c r="U3" s="9">
        <f>COUNTIF(E3,"CW")</f>
        <v>0</v>
      </c>
      <c r="V3" s="9">
        <f>COUNTIF(E3,"RTTY")</f>
        <v>0</v>
      </c>
    </row>
    <row r="4" spans="1:22" x14ac:dyDescent="0.25">
      <c r="A4" s="182">
        <v>45063</v>
      </c>
      <c r="B4" s="155"/>
      <c r="C4" s="156"/>
      <c r="D4" s="184"/>
      <c r="E4" s="166"/>
      <c r="F4" s="151"/>
      <c r="G4" s="151"/>
      <c r="H4" s="151"/>
      <c r="I4" s="154"/>
      <c r="J4" s="154"/>
      <c r="K4" s="154"/>
      <c r="L4" s="154"/>
      <c r="M4" s="154"/>
      <c r="N4" s="154"/>
      <c r="O4" s="154"/>
      <c r="P4" s="157"/>
      <c r="Q4" s="176" t="s">
        <v>17</v>
      </c>
      <c r="R4" s="166">
        <f>SUM(M3:M105)</f>
        <v>0</v>
      </c>
      <c r="S4" s="88"/>
      <c r="T4" s="9">
        <f t="shared" ref="T4:T67" si="0">COUNTIF(E4,"SSB")</f>
        <v>0</v>
      </c>
      <c r="U4" s="9">
        <f t="shared" ref="U4:U67" si="1">COUNTIF(E4,"CW")</f>
        <v>0</v>
      </c>
      <c r="V4" s="9">
        <f t="shared" ref="V4:V67" si="2">COUNTIF(E4,"RTTY")</f>
        <v>0</v>
      </c>
    </row>
    <row r="5" spans="1:22" x14ac:dyDescent="0.25">
      <c r="A5" s="182">
        <v>45063</v>
      </c>
      <c r="B5" s="155"/>
      <c r="C5" s="156"/>
      <c r="D5" s="184"/>
      <c r="E5" s="166"/>
      <c r="F5" s="151"/>
      <c r="G5" s="151"/>
      <c r="H5" s="151"/>
      <c r="I5" s="154"/>
      <c r="J5" s="154"/>
      <c r="K5" s="154"/>
      <c r="L5" s="154"/>
      <c r="M5" s="154"/>
      <c r="N5" s="154"/>
      <c r="O5" s="154"/>
      <c r="P5" s="157"/>
      <c r="Q5" s="177" t="s">
        <v>16</v>
      </c>
      <c r="R5" s="158">
        <f>SUM(N3:N105)</f>
        <v>0</v>
      </c>
      <c r="S5" s="88"/>
      <c r="T5" s="9">
        <f t="shared" si="0"/>
        <v>0</v>
      </c>
      <c r="U5" s="9">
        <f t="shared" si="1"/>
        <v>0</v>
      </c>
      <c r="V5" s="9">
        <f t="shared" si="2"/>
        <v>0</v>
      </c>
    </row>
    <row r="6" spans="1:22" x14ac:dyDescent="0.25">
      <c r="A6" s="182">
        <v>45063</v>
      </c>
      <c r="B6" s="155"/>
      <c r="C6" s="156"/>
      <c r="D6" s="184"/>
      <c r="E6" s="166"/>
      <c r="F6" s="151"/>
      <c r="G6" s="151"/>
      <c r="H6" s="151"/>
      <c r="I6" s="154"/>
      <c r="J6" s="154"/>
      <c r="K6" s="154"/>
      <c r="L6" s="154"/>
      <c r="M6" s="154"/>
      <c r="N6" s="154"/>
      <c r="O6" s="154"/>
      <c r="P6" s="157"/>
      <c r="Q6" s="170"/>
      <c r="R6" s="173"/>
      <c r="S6" s="88"/>
      <c r="T6" s="9">
        <f t="shared" si="0"/>
        <v>0</v>
      </c>
      <c r="U6" s="9">
        <f t="shared" si="1"/>
        <v>0</v>
      </c>
      <c r="V6" s="9">
        <f t="shared" si="2"/>
        <v>0</v>
      </c>
    </row>
    <row r="7" spans="1:22" x14ac:dyDescent="0.25">
      <c r="A7" s="182">
        <v>45063</v>
      </c>
      <c r="B7" s="155"/>
      <c r="C7" s="156"/>
      <c r="D7" s="184"/>
      <c r="E7" s="166"/>
      <c r="F7" s="151"/>
      <c r="G7" s="151"/>
      <c r="H7" s="151"/>
      <c r="I7" s="154"/>
      <c r="J7" s="154"/>
      <c r="K7" s="154"/>
      <c r="L7" s="154"/>
      <c r="M7" s="154"/>
      <c r="N7" s="154"/>
      <c r="O7" s="154"/>
      <c r="P7" s="157"/>
      <c r="Q7" s="150" t="s">
        <v>9</v>
      </c>
      <c r="R7" s="168">
        <f>T2</f>
        <v>0</v>
      </c>
      <c r="S7" s="88"/>
      <c r="T7" s="9">
        <f t="shared" si="0"/>
        <v>0</v>
      </c>
      <c r="U7" s="9">
        <f t="shared" si="1"/>
        <v>0</v>
      </c>
      <c r="V7" s="9">
        <f t="shared" si="2"/>
        <v>0</v>
      </c>
    </row>
    <row r="8" spans="1:22" x14ac:dyDescent="0.25">
      <c r="A8" s="182">
        <v>45063</v>
      </c>
      <c r="B8" s="155"/>
      <c r="C8" s="156"/>
      <c r="D8" s="184"/>
      <c r="E8" s="166"/>
      <c r="F8" s="151"/>
      <c r="G8" s="151"/>
      <c r="H8" s="151"/>
      <c r="I8" s="154"/>
      <c r="J8" s="154"/>
      <c r="K8" s="154"/>
      <c r="L8" s="154"/>
      <c r="M8" s="154"/>
      <c r="N8" s="154"/>
      <c r="O8" s="154"/>
      <c r="P8" s="157"/>
      <c r="Q8" s="150" t="s">
        <v>10</v>
      </c>
      <c r="R8" s="168">
        <f>U2</f>
        <v>0</v>
      </c>
      <c r="S8" s="88"/>
      <c r="T8" s="9">
        <f t="shared" si="0"/>
        <v>0</v>
      </c>
      <c r="U8" s="9">
        <f t="shared" si="1"/>
        <v>0</v>
      </c>
      <c r="V8" s="9">
        <f t="shared" si="2"/>
        <v>0</v>
      </c>
    </row>
    <row r="9" spans="1:22" x14ac:dyDescent="0.25">
      <c r="A9" s="182">
        <v>45063</v>
      </c>
      <c r="B9" s="155"/>
      <c r="C9" s="156"/>
      <c r="D9" s="184"/>
      <c r="E9" s="154"/>
      <c r="F9" s="151"/>
      <c r="G9" s="151"/>
      <c r="H9" s="151"/>
      <c r="I9" s="154"/>
      <c r="J9" s="154"/>
      <c r="K9" s="154"/>
      <c r="L9" s="154"/>
      <c r="M9" s="154"/>
      <c r="N9" s="154"/>
      <c r="O9" s="154"/>
      <c r="P9" s="157"/>
      <c r="Q9" s="178" t="s">
        <v>28</v>
      </c>
      <c r="R9" s="175">
        <f>V2</f>
        <v>0</v>
      </c>
      <c r="S9" s="88"/>
      <c r="T9" s="9">
        <f t="shared" si="0"/>
        <v>0</v>
      </c>
      <c r="U9" s="9">
        <f t="shared" si="1"/>
        <v>0</v>
      </c>
      <c r="V9" s="9">
        <f t="shared" si="2"/>
        <v>0</v>
      </c>
    </row>
    <row r="10" spans="1:22" ht="15.75" customHeight="1" x14ac:dyDescent="0.25">
      <c r="A10" s="182">
        <v>45063</v>
      </c>
      <c r="B10" s="155"/>
      <c r="C10" s="156"/>
      <c r="D10" s="184"/>
      <c r="E10" s="154"/>
      <c r="F10" s="151"/>
      <c r="G10" s="151"/>
      <c r="H10" s="151"/>
      <c r="I10" s="154"/>
      <c r="J10" s="154"/>
      <c r="K10" s="154"/>
      <c r="L10" s="154"/>
      <c r="M10" s="154"/>
      <c r="N10" s="154"/>
      <c r="O10" s="154"/>
      <c r="P10" s="157"/>
      <c r="Q10" s="179"/>
      <c r="R10" s="159"/>
      <c r="S10" s="88"/>
      <c r="T10" s="9">
        <f t="shared" si="0"/>
        <v>0</v>
      </c>
      <c r="U10" s="9">
        <f t="shared" si="1"/>
        <v>0</v>
      </c>
      <c r="V10" s="9">
        <f t="shared" si="2"/>
        <v>0</v>
      </c>
    </row>
    <row r="11" spans="1:22" x14ac:dyDescent="0.25">
      <c r="A11" s="182">
        <v>45063</v>
      </c>
      <c r="B11" s="155"/>
      <c r="C11" s="156"/>
      <c r="D11" s="184"/>
      <c r="E11" s="154"/>
      <c r="F11" s="151"/>
      <c r="G11" s="151"/>
      <c r="H11" s="151"/>
      <c r="I11" s="154"/>
      <c r="J11" s="154"/>
      <c r="K11" s="154"/>
      <c r="L11" s="154"/>
      <c r="M11" s="154"/>
      <c r="N11" s="154"/>
      <c r="O11" s="154"/>
      <c r="P11" s="157"/>
      <c r="Q11" s="180" t="s">
        <v>24</v>
      </c>
      <c r="R11" s="169"/>
      <c r="S11" s="88"/>
      <c r="T11" s="9">
        <f t="shared" si="0"/>
        <v>0</v>
      </c>
      <c r="U11" s="9">
        <f t="shared" si="1"/>
        <v>0</v>
      </c>
      <c r="V11" s="9">
        <f t="shared" si="2"/>
        <v>0</v>
      </c>
    </row>
    <row r="12" spans="1:22" x14ac:dyDescent="0.25">
      <c r="A12" s="182">
        <v>45063</v>
      </c>
      <c r="B12" s="155"/>
      <c r="C12" s="156"/>
      <c r="D12" s="184"/>
      <c r="E12" s="154"/>
      <c r="F12" s="151"/>
      <c r="G12" s="151"/>
      <c r="H12" s="151"/>
      <c r="I12" s="154"/>
      <c r="J12" s="154"/>
      <c r="K12" s="154"/>
      <c r="L12" s="154"/>
      <c r="M12" s="154"/>
      <c r="N12" s="154"/>
      <c r="O12" s="154"/>
      <c r="P12" s="157"/>
      <c r="Q12" s="170" t="s">
        <v>25</v>
      </c>
      <c r="R12" s="169"/>
      <c r="S12" s="88"/>
      <c r="T12" s="9">
        <f t="shared" si="0"/>
        <v>0</v>
      </c>
      <c r="U12" s="9">
        <f t="shared" si="1"/>
        <v>0</v>
      </c>
      <c r="V12" s="9">
        <f t="shared" si="2"/>
        <v>0</v>
      </c>
    </row>
    <row r="13" spans="1:22" x14ac:dyDescent="0.25">
      <c r="A13" s="182">
        <v>45063</v>
      </c>
      <c r="B13" s="155"/>
      <c r="C13" s="156"/>
      <c r="D13" s="184"/>
      <c r="E13" s="154"/>
      <c r="F13" s="151"/>
      <c r="G13" s="151"/>
      <c r="H13" s="151"/>
      <c r="I13" s="154"/>
      <c r="J13" s="154"/>
      <c r="K13" s="154"/>
      <c r="L13" s="154"/>
      <c r="M13" s="154"/>
      <c r="N13" s="154"/>
      <c r="O13" s="154"/>
      <c r="P13" s="157"/>
      <c r="Q13" s="181" t="s">
        <v>19</v>
      </c>
      <c r="R13" s="88"/>
      <c r="S13" s="88"/>
      <c r="T13" s="9">
        <f t="shared" si="0"/>
        <v>0</v>
      </c>
      <c r="U13" s="9">
        <f t="shared" si="1"/>
        <v>0</v>
      </c>
      <c r="V13" s="9">
        <f t="shared" si="2"/>
        <v>0</v>
      </c>
    </row>
    <row r="14" spans="1:22" x14ac:dyDescent="0.25">
      <c r="A14" s="182">
        <v>45063</v>
      </c>
      <c r="B14" s="155"/>
      <c r="C14" s="156"/>
      <c r="D14" s="184"/>
      <c r="E14" s="154"/>
      <c r="F14" s="151"/>
      <c r="G14" s="151"/>
      <c r="H14" s="151"/>
      <c r="I14" s="154"/>
      <c r="J14" s="154"/>
      <c r="K14" s="154"/>
      <c r="L14" s="154"/>
      <c r="M14" s="154"/>
      <c r="N14" s="154"/>
      <c r="O14" s="154"/>
      <c r="P14" s="157"/>
      <c r="Q14" s="181" t="s">
        <v>18</v>
      </c>
      <c r="R14" s="160"/>
      <c r="S14"/>
      <c r="T14" s="9">
        <f t="shared" si="0"/>
        <v>0</v>
      </c>
      <c r="U14" s="9">
        <f t="shared" si="1"/>
        <v>0</v>
      </c>
      <c r="V14" s="9">
        <f t="shared" si="2"/>
        <v>0</v>
      </c>
    </row>
    <row r="15" spans="1:22" x14ac:dyDescent="0.25">
      <c r="A15" s="182">
        <v>45063</v>
      </c>
      <c r="B15" s="155"/>
      <c r="C15" s="156"/>
      <c r="D15" s="184"/>
      <c r="E15" s="154"/>
      <c r="F15" s="151"/>
      <c r="G15" s="151"/>
      <c r="H15" s="151"/>
      <c r="I15" s="154"/>
      <c r="J15" s="154"/>
      <c r="K15" s="154"/>
      <c r="L15" s="154"/>
      <c r="M15" s="154"/>
      <c r="N15" s="154"/>
      <c r="O15" s="154"/>
      <c r="P15" s="157"/>
      <c r="Q15" s="160"/>
      <c r="R15" s="160"/>
      <c r="S15"/>
      <c r="T15" s="9">
        <f t="shared" si="0"/>
        <v>0</v>
      </c>
      <c r="U15" s="9">
        <f t="shared" si="1"/>
        <v>0</v>
      </c>
      <c r="V15" s="9">
        <f t="shared" si="2"/>
        <v>0</v>
      </c>
    </row>
    <row r="16" spans="1:22" x14ac:dyDescent="0.25">
      <c r="A16" s="182">
        <v>45063</v>
      </c>
      <c r="B16" s="155"/>
      <c r="C16" s="156"/>
      <c r="D16" s="184"/>
      <c r="E16" s="154"/>
      <c r="F16" s="151"/>
      <c r="G16" s="151"/>
      <c r="H16" s="151"/>
      <c r="I16" s="154"/>
      <c r="J16" s="154"/>
      <c r="K16" s="154"/>
      <c r="L16" s="154"/>
      <c r="M16" s="154"/>
      <c r="N16" s="154"/>
      <c r="O16" s="154"/>
      <c r="P16" s="157"/>
      <c r="Q16" s="160"/>
      <c r="R16" s="160"/>
      <c r="S16"/>
      <c r="T16" s="9">
        <f t="shared" si="0"/>
        <v>0</v>
      </c>
      <c r="U16" s="9">
        <f t="shared" si="1"/>
        <v>0</v>
      </c>
      <c r="V16" s="9">
        <f t="shared" si="2"/>
        <v>0</v>
      </c>
    </row>
    <row r="17" spans="1:22" x14ac:dyDescent="0.25">
      <c r="A17" s="182">
        <v>45063</v>
      </c>
      <c r="B17" s="155"/>
      <c r="C17" s="156"/>
      <c r="D17" s="184"/>
      <c r="E17" s="154"/>
      <c r="F17" s="151"/>
      <c r="G17" s="151"/>
      <c r="H17" s="151"/>
      <c r="I17" s="154"/>
      <c r="J17" s="154"/>
      <c r="K17" s="154"/>
      <c r="L17" s="154"/>
      <c r="M17" s="154"/>
      <c r="N17" s="154"/>
      <c r="O17" s="154"/>
      <c r="P17" s="157"/>
      <c r="Q17" s="157"/>
      <c r="R17" s="161"/>
      <c r="S17"/>
      <c r="T17" s="9">
        <f t="shared" si="0"/>
        <v>0</v>
      </c>
      <c r="U17" s="9">
        <f t="shared" si="1"/>
        <v>0</v>
      </c>
      <c r="V17" s="9">
        <f t="shared" si="2"/>
        <v>0</v>
      </c>
    </row>
    <row r="18" spans="1:22" x14ac:dyDescent="0.25">
      <c r="A18" s="182">
        <v>45063</v>
      </c>
      <c r="B18" s="155"/>
      <c r="C18" s="156"/>
      <c r="D18" s="184"/>
      <c r="E18" s="154"/>
      <c r="F18" s="151"/>
      <c r="G18" s="151"/>
      <c r="H18" s="151"/>
      <c r="I18" s="154"/>
      <c r="J18" s="154"/>
      <c r="K18" s="154"/>
      <c r="L18" s="154"/>
      <c r="M18" s="154"/>
      <c r="N18" s="154"/>
      <c r="O18" s="154"/>
      <c r="P18" s="157"/>
      <c r="Q18" s="157"/>
      <c r="R18" s="161"/>
      <c r="S18"/>
      <c r="T18" s="9">
        <f t="shared" si="0"/>
        <v>0</v>
      </c>
      <c r="U18" s="9">
        <f t="shared" si="1"/>
        <v>0</v>
      </c>
      <c r="V18" s="9">
        <f t="shared" si="2"/>
        <v>0</v>
      </c>
    </row>
    <row r="19" spans="1:22" x14ac:dyDescent="0.25">
      <c r="A19" s="182">
        <v>45063</v>
      </c>
      <c r="B19" s="155"/>
      <c r="C19" s="156"/>
      <c r="D19" s="184"/>
      <c r="E19" s="154"/>
      <c r="F19" s="151"/>
      <c r="G19" s="151"/>
      <c r="H19" s="151"/>
      <c r="I19" s="154"/>
      <c r="J19" s="154"/>
      <c r="K19" s="154"/>
      <c r="L19" s="154"/>
      <c r="M19" s="154"/>
      <c r="N19" s="154"/>
      <c r="O19" s="154"/>
      <c r="P19" s="157"/>
      <c r="Q19" s="157"/>
      <c r="R19" s="161"/>
      <c r="S19"/>
      <c r="T19" s="9">
        <f t="shared" si="0"/>
        <v>0</v>
      </c>
      <c r="U19" s="9">
        <f t="shared" si="1"/>
        <v>0</v>
      </c>
      <c r="V19" s="9">
        <f t="shared" si="2"/>
        <v>0</v>
      </c>
    </row>
    <row r="20" spans="1:22" x14ac:dyDescent="0.25">
      <c r="A20" s="182">
        <v>45063</v>
      </c>
      <c r="B20" s="155"/>
      <c r="C20" s="156"/>
      <c r="D20" s="184"/>
      <c r="E20" s="154"/>
      <c r="F20" s="151"/>
      <c r="G20" s="151"/>
      <c r="H20" s="151"/>
      <c r="I20" s="154"/>
      <c r="J20" s="154"/>
      <c r="K20" s="154"/>
      <c r="L20" s="154"/>
      <c r="M20" s="154"/>
      <c r="N20" s="154"/>
      <c r="O20" s="154"/>
      <c r="P20" s="157"/>
      <c r="Q20" s="157"/>
      <c r="R20" s="161"/>
      <c r="S20"/>
      <c r="T20" s="9">
        <f t="shared" si="0"/>
        <v>0</v>
      </c>
      <c r="U20" s="9">
        <f t="shared" si="1"/>
        <v>0</v>
      </c>
      <c r="V20" s="9">
        <f t="shared" si="2"/>
        <v>0</v>
      </c>
    </row>
    <row r="21" spans="1:22" x14ac:dyDescent="0.25">
      <c r="A21" s="182">
        <v>45063</v>
      </c>
      <c r="B21" s="155"/>
      <c r="C21" s="156"/>
      <c r="D21" s="184"/>
      <c r="E21" s="154"/>
      <c r="F21" s="151"/>
      <c r="G21" s="151"/>
      <c r="H21" s="151"/>
      <c r="I21" s="154"/>
      <c r="J21" s="154"/>
      <c r="K21" s="154"/>
      <c r="L21" s="154"/>
      <c r="M21" s="154"/>
      <c r="N21" s="154"/>
      <c r="O21" s="154"/>
      <c r="P21" s="157"/>
      <c r="Q21" s="88"/>
      <c r="R21" s="88"/>
      <c r="S21"/>
      <c r="T21" s="9">
        <f t="shared" si="0"/>
        <v>0</v>
      </c>
      <c r="U21" s="9">
        <f t="shared" si="1"/>
        <v>0</v>
      </c>
      <c r="V21" s="9">
        <f t="shared" si="2"/>
        <v>0</v>
      </c>
    </row>
    <row r="22" spans="1:22" x14ac:dyDescent="0.25">
      <c r="A22" s="182">
        <v>45063</v>
      </c>
      <c r="B22" s="155"/>
      <c r="C22" s="156"/>
      <c r="D22" s="184"/>
      <c r="E22" s="154"/>
      <c r="F22" s="151"/>
      <c r="G22" s="151"/>
      <c r="H22" s="151"/>
      <c r="I22" s="154"/>
      <c r="J22" s="154"/>
      <c r="K22" s="154"/>
      <c r="L22" s="154"/>
      <c r="M22" s="154"/>
      <c r="N22" s="154"/>
      <c r="O22" s="154"/>
      <c r="P22" s="157"/>
      <c r="Q22" s="88"/>
      <c r="R22" s="88"/>
      <c r="S22"/>
      <c r="T22" s="9">
        <f t="shared" si="0"/>
        <v>0</v>
      </c>
      <c r="U22" s="9">
        <f t="shared" si="1"/>
        <v>0</v>
      </c>
      <c r="V22" s="9">
        <f t="shared" si="2"/>
        <v>0</v>
      </c>
    </row>
    <row r="23" spans="1:22" x14ac:dyDescent="0.25">
      <c r="A23" s="182">
        <v>45063</v>
      </c>
      <c r="B23" s="155"/>
      <c r="C23" s="156"/>
      <c r="D23" s="184"/>
      <c r="E23" s="154"/>
      <c r="F23" s="151"/>
      <c r="G23" s="151"/>
      <c r="H23" s="151"/>
      <c r="I23" s="154"/>
      <c r="J23" s="154"/>
      <c r="K23" s="154"/>
      <c r="L23" s="154"/>
      <c r="M23" s="154"/>
      <c r="N23" s="154"/>
      <c r="O23" s="154"/>
      <c r="P23" s="157"/>
      <c r="Q23" s="88"/>
      <c r="R23" s="88"/>
      <c r="S23"/>
      <c r="T23" s="9">
        <f t="shared" si="0"/>
        <v>0</v>
      </c>
      <c r="U23" s="9">
        <f t="shared" si="1"/>
        <v>0</v>
      </c>
      <c r="V23" s="9">
        <f t="shared" si="2"/>
        <v>0</v>
      </c>
    </row>
    <row r="24" spans="1:22" x14ac:dyDescent="0.25">
      <c r="A24" s="182">
        <v>45063</v>
      </c>
      <c r="B24" s="155"/>
      <c r="C24" s="156"/>
      <c r="D24" s="184"/>
      <c r="E24" s="154"/>
      <c r="F24" s="151"/>
      <c r="G24" s="151"/>
      <c r="H24" s="151"/>
      <c r="I24" s="154"/>
      <c r="J24" s="154"/>
      <c r="K24" s="154"/>
      <c r="L24" s="154"/>
      <c r="M24" s="154"/>
      <c r="N24" s="154"/>
      <c r="O24" s="154"/>
      <c r="P24" s="157"/>
      <c r="Q24" s="88"/>
      <c r="R24" s="88"/>
      <c r="S24"/>
      <c r="T24" s="9">
        <f t="shared" si="0"/>
        <v>0</v>
      </c>
      <c r="U24" s="9">
        <f t="shared" si="1"/>
        <v>0</v>
      </c>
      <c r="V24" s="9">
        <f t="shared" si="2"/>
        <v>0</v>
      </c>
    </row>
    <row r="25" spans="1:22" x14ac:dyDescent="0.25">
      <c r="A25" s="182">
        <v>45063</v>
      </c>
      <c r="B25" s="16"/>
      <c r="C25" s="6"/>
      <c r="D25" s="185"/>
      <c r="E25" s="15"/>
      <c r="F25" s="151"/>
      <c r="G25" s="151"/>
      <c r="H25" s="151"/>
      <c r="I25" s="15"/>
      <c r="J25" s="15"/>
      <c r="K25" s="15"/>
      <c r="L25" s="154"/>
      <c r="M25" s="15"/>
      <c r="N25" s="15"/>
      <c r="O25" s="15"/>
      <c r="Q25"/>
      <c r="R25"/>
      <c r="S25"/>
      <c r="T25" s="9">
        <f t="shared" si="0"/>
        <v>0</v>
      </c>
      <c r="U25" s="9">
        <f t="shared" si="1"/>
        <v>0</v>
      </c>
      <c r="V25" s="9">
        <f t="shared" si="2"/>
        <v>0</v>
      </c>
    </row>
    <row r="26" spans="1:22" x14ac:dyDescent="0.25">
      <c r="A26" s="182">
        <v>45063</v>
      </c>
      <c r="B26" s="16"/>
      <c r="C26" s="6"/>
      <c r="D26" s="185"/>
      <c r="E26" s="15"/>
      <c r="F26" s="151"/>
      <c r="G26" s="151"/>
      <c r="H26" s="151"/>
      <c r="I26" s="15"/>
      <c r="J26" s="15"/>
      <c r="K26" s="15"/>
      <c r="L26" s="154"/>
      <c r="M26" s="15"/>
      <c r="N26" s="15"/>
      <c r="O26" s="15"/>
      <c r="Q26"/>
      <c r="R26"/>
      <c r="S26"/>
      <c r="T26" s="9">
        <f t="shared" si="0"/>
        <v>0</v>
      </c>
      <c r="U26" s="9">
        <f t="shared" si="1"/>
        <v>0</v>
      </c>
      <c r="V26" s="9">
        <f t="shared" si="2"/>
        <v>0</v>
      </c>
    </row>
    <row r="27" spans="1:22" x14ac:dyDescent="0.25">
      <c r="A27" s="182">
        <v>45063</v>
      </c>
      <c r="B27" s="16"/>
      <c r="C27" s="6"/>
      <c r="D27" s="185"/>
      <c r="E27" s="15"/>
      <c r="F27" s="151"/>
      <c r="G27" s="151"/>
      <c r="H27" s="151"/>
      <c r="I27" s="15"/>
      <c r="J27" s="15"/>
      <c r="K27" s="15"/>
      <c r="L27" s="154"/>
      <c r="M27" s="15"/>
      <c r="N27" s="15"/>
      <c r="O27" s="15"/>
      <c r="R27" s="5"/>
      <c r="S27"/>
      <c r="T27" s="9">
        <f t="shared" si="0"/>
        <v>0</v>
      </c>
      <c r="U27" s="9">
        <f t="shared" si="1"/>
        <v>0</v>
      </c>
      <c r="V27" s="9">
        <f t="shared" si="2"/>
        <v>0</v>
      </c>
    </row>
    <row r="28" spans="1:22" x14ac:dyDescent="0.25">
      <c r="A28" s="182">
        <v>45063</v>
      </c>
      <c r="B28" s="16"/>
      <c r="C28" s="6"/>
      <c r="D28" s="185"/>
      <c r="E28" s="15"/>
      <c r="F28" s="151"/>
      <c r="G28" s="151"/>
      <c r="H28" s="151"/>
      <c r="I28" s="15"/>
      <c r="J28" s="15"/>
      <c r="K28" s="15"/>
      <c r="L28" s="154"/>
      <c r="M28" s="15"/>
      <c r="N28" s="15"/>
      <c r="O28" s="15"/>
      <c r="R28" s="5"/>
      <c r="S28"/>
      <c r="T28" s="9">
        <f t="shared" si="0"/>
        <v>0</v>
      </c>
      <c r="U28" s="9">
        <f t="shared" si="1"/>
        <v>0</v>
      </c>
      <c r="V28" s="9">
        <f t="shared" si="2"/>
        <v>0</v>
      </c>
    </row>
    <row r="29" spans="1:22" x14ac:dyDescent="0.25">
      <c r="A29" s="182">
        <v>45063</v>
      </c>
      <c r="B29" s="14"/>
      <c r="C29" s="6"/>
      <c r="D29" s="185"/>
      <c r="E29" s="15"/>
      <c r="F29" s="151"/>
      <c r="G29" s="151"/>
      <c r="H29" s="151"/>
      <c r="I29" s="15"/>
      <c r="J29" s="15"/>
      <c r="K29" s="15"/>
      <c r="L29" s="154"/>
      <c r="M29" s="15"/>
      <c r="N29" s="15"/>
      <c r="O29" s="15"/>
      <c r="R29" s="5"/>
      <c r="S29"/>
      <c r="T29" s="9">
        <f t="shared" si="0"/>
        <v>0</v>
      </c>
      <c r="U29" s="9">
        <f t="shared" si="1"/>
        <v>0</v>
      </c>
      <c r="V29" s="9">
        <f t="shared" si="2"/>
        <v>0</v>
      </c>
    </row>
    <row r="30" spans="1:22" x14ac:dyDescent="0.25">
      <c r="A30" s="182">
        <v>45063</v>
      </c>
      <c r="B30" s="16"/>
      <c r="C30" s="6"/>
      <c r="D30" s="185"/>
      <c r="E30" s="15"/>
      <c r="F30" s="151"/>
      <c r="G30" s="151"/>
      <c r="H30" s="151"/>
      <c r="I30" s="15"/>
      <c r="J30" s="15"/>
      <c r="K30" s="15"/>
      <c r="L30" s="154"/>
      <c r="M30" s="15"/>
      <c r="N30" s="15"/>
      <c r="O30" s="15"/>
      <c r="R30" s="5"/>
      <c r="S30"/>
      <c r="T30" s="9">
        <f t="shared" si="0"/>
        <v>0</v>
      </c>
      <c r="U30" s="9">
        <f t="shared" si="1"/>
        <v>0</v>
      </c>
      <c r="V30" s="9">
        <f t="shared" si="2"/>
        <v>0</v>
      </c>
    </row>
    <row r="31" spans="1:22" x14ac:dyDescent="0.25">
      <c r="A31" s="182">
        <v>45063</v>
      </c>
      <c r="B31" s="16"/>
      <c r="C31" s="6"/>
      <c r="D31" s="185"/>
      <c r="E31" s="15"/>
      <c r="F31" s="151"/>
      <c r="G31" s="151"/>
      <c r="H31" s="151"/>
      <c r="I31" s="15"/>
      <c r="J31" s="15"/>
      <c r="K31" s="15"/>
      <c r="L31" s="15"/>
      <c r="M31" s="15"/>
      <c r="N31" s="15"/>
      <c r="O31" s="15"/>
      <c r="R31" s="5"/>
      <c r="S31"/>
      <c r="T31" s="9">
        <f t="shared" si="0"/>
        <v>0</v>
      </c>
      <c r="U31" s="9">
        <f t="shared" si="1"/>
        <v>0</v>
      </c>
      <c r="V31" s="9">
        <f t="shared" si="2"/>
        <v>0</v>
      </c>
    </row>
    <row r="32" spans="1:22" x14ac:dyDescent="0.25">
      <c r="A32" s="182">
        <v>45063</v>
      </c>
      <c r="B32" s="16"/>
      <c r="C32" s="6"/>
      <c r="D32" s="185"/>
      <c r="E32" s="15"/>
      <c r="F32" s="151"/>
      <c r="G32" s="151"/>
      <c r="H32" s="151"/>
      <c r="I32" s="15"/>
      <c r="J32" s="15"/>
      <c r="K32" s="15"/>
      <c r="L32" s="15"/>
      <c r="M32" s="15"/>
      <c r="N32" s="15"/>
      <c r="O32" s="15"/>
      <c r="R32" s="5"/>
      <c r="S32"/>
      <c r="T32" s="9">
        <f t="shared" si="0"/>
        <v>0</v>
      </c>
      <c r="U32" s="9">
        <f t="shared" si="1"/>
        <v>0</v>
      </c>
      <c r="V32" s="9">
        <f t="shared" si="2"/>
        <v>0</v>
      </c>
    </row>
    <row r="33" spans="1:22" x14ac:dyDescent="0.25">
      <c r="A33" s="182">
        <v>45063</v>
      </c>
      <c r="B33" s="16"/>
      <c r="C33" s="6"/>
      <c r="D33" s="185"/>
      <c r="E33" s="15"/>
      <c r="F33" s="151"/>
      <c r="G33" s="151"/>
      <c r="H33" s="151"/>
      <c r="I33" s="15"/>
      <c r="J33" s="15"/>
      <c r="K33" s="15"/>
      <c r="L33" s="15"/>
      <c r="M33" s="15"/>
      <c r="N33" s="15"/>
      <c r="O33" s="15"/>
      <c r="R33" s="5"/>
      <c r="S33"/>
      <c r="T33" s="9">
        <f t="shared" si="0"/>
        <v>0</v>
      </c>
      <c r="U33" s="9">
        <f t="shared" si="1"/>
        <v>0</v>
      </c>
      <c r="V33" s="9">
        <f t="shared" si="2"/>
        <v>0</v>
      </c>
    </row>
    <row r="34" spans="1:22" x14ac:dyDescent="0.25">
      <c r="A34" s="182">
        <v>45063</v>
      </c>
      <c r="B34" s="14"/>
      <c r="C34" s="6"/>
      <c r="D34" s="185"/>
      <c r="E34" s="15"/>
      <c r="F34" s="151"/>
      <c r="G34" s="151"/>
      <c r="H34" s="151"/>
      <c r="I34" s="15"/>
      <c r="J34" s="15"/>
      <c r="K34" s="15"/>
      <c r="L34" s="15"/>
      <c r="M34" s="15"/>
      <c r="N34" s="15"/>
      <c r="O34" s="15"/>
      <c r="R34" s="5"/>
      <c r="S34"/>
      <c r="T34" s="9">
        <f t="shared" si="0"/>
        <v>0</v>
      </c>
      <c r="U34" s="9">
        <f t="shared" si="1"/>
        <v>0</v>
      </c>
      <c r="V34" s="9">
        <f t="shared" si="2"/>
        <v>0</v>
      </c>
    </row>
    <row r="35" spans="1:22" x14ac:dyDescent="0.25">
      <c r="A35" s="182">
        <v>45063</v>
      </c>
      <c r="B35" s="16"/>
      <c r="C35" s="6"/>
      <c r="D35" s="185"/>
      <c r="E35" s="15"/>
      <c r="F35" s="151"/>
      <c r="G35" s="151"/>
      <c r="H35" s="151"/>
      <c r="I35" s="15"/>
      <c r="J35" s="15"/>
      <c r="K35" s="15"/>
      <c r="L35" s="15"/>
      <c r="M35" s="15"/>
      <c r="N35" s="15"/>
      <c r="O35" s="15"/>
      <c r="R35" s="5"/>
      <c r="S35"/>
      <c r="T35" s="9">
        <f t="shared" si="0"/>
        <v>0</v>
      </c>
      <c r="U35" s="9">
        <f t="shared" si="1"/>
        <v>0</v>
      </c>
      <c r="V35" s="9">
        <f t="shared" si="2"/>
        <v>0</v>
      </c>
    </row>
    <row r="36" spans="1:22" x14ac:dyDescent="0.25">
      <c r="A36" s="182">
        <v>45063</v>
      </c>
      <c r="B36" s="16"/>
      <c r="C36" s="6"/>
      <c r="D36" s="185"/>
      <c r="E36" s="15"/>
      <c r="F36" s="151"/>
      <c r="G36" s="151"/>
      <c r="H36" s="151"/>
      <c r="I36" s="15"/>
      <c r="J36" s="15"/>
      <c r="K36" s="15"/>
      <c r="L36" s="15"/>
      <c r="M36" s="15"/>
      <c r="N36" s="15"/>
      <c r="O36" s="15"/>
      <c r="R36" s="5"/>
      <c r="S36"/>
      <c r="T36" s="9">
        <f t="shared" si="0"/>
        <v>0</v>
      </c>
      <c r="U36" s="9">
        <f t="shared" si="1"/>
        <v>0</v>
      </c>
      <c r="V36" s="9">
        <f t="shared" si="2"/>
        <v>0</v>
      </c>
    </row>
    <row r="37" spans="1:22" x14ac:dyDescent="0.25">
      <c r="A37" s="182">
        <v>45063</v>
      </c>
      <c r="B37" s="16"/>
      <c r="C37" s="6"/>
      <c r="D37" s="185"/>
      <c r="E37" s="15"/>
      <c r="F37" s="151"/>
      <c r="G37" s="151"/>
      <c r="H37" s="151"/>
      <c r="I37" s="15"/>
      <c r="J37" s="15"/>
      <c r="K37" s="15"/>
      <c r="L37" s="15"/>
      <c r="M37" s="15"/>
      <c r="N37" s="15"/>
      <c r="O37" s="15"/>
      <c r="R37" s="5"/>
      <c r="S37"/>
      <c r="T37" s="9">
        <f t="shared" si="0"/>
        <v>0</v>
      </c>
      <c r="U37" s="9">
        <f t="shared" si="1"/>
        <v>0</v>
      </c>
      <c r="V37" s="9">
        <f t="shared" si="2"/>
        <v>0</v>
      </c>
    </row>
    <row r="38" spans="1:22" x14ac:dyDescent="0.25">
      <c r="A38" s="182">
        <v>45063</v>
      </c>
      <c r="B38" s="14"/>
      <c r="C38" s="6"/>
      <c r="D38" s="185"/>
      <c r="E38" s="15"/>
      <c r="F38" s="151"/>
      <c r="G38" s="151"/>
      <c r="H38" s="151"/>
      <c r="I38" s="15"/>
      <c r="J38" s="15"/>
      <c r="K38" s="15"/>
      <c r="L38" s="15"/>
      <c r="M38" s="15"/>
      <c r="N38" s="15"/>
      <c r="O38" s="15"/>
      <c r="R38" s="5"/>
      <c r="S38"/>
      <c r="T38" s="9">
        <f t="shared" si="0"/>
        <v>0</v>
      </c>
      <c r="U38" s="9">
        <f t="shared" si="1"/>
        <v>0</v>
      </c>
      <c r="V38" s="9">
        <f t="shared" si="2"/>
        <v>0</v>
      </c>
    </row>
    <row r="39" spans="1:22" x14ac:dyDescent="0.25">
      <c r="A39" s="182">
        <v>45063</v>
      </c>
      <c r="B39" s="16"/>
      <c r="C39" s="6"/>
      <c r="D39" s="185"/>
      <c r="E39" s="15"/>
      <c r="F39" s="151"/>
      <c r="G39" s="151"/>
      <c r="H39" s="151"/>
      <c r="I39" s="15"/>
      <c r="J39" s="15"/>
      <c r="K39" s="15"/>
      <c r="L39" s="15"/>
      <c r="M39" s="15"/>
      <c r="N39" s="15"/>
      <c r="O39" s="15"/>
      <c r="R39" s="5"/>
      <c r="S39"/>
      <c r="T39" s="9">
        <f t="shared" si="0"/>
        <v>0</v>
      </c>
      <c r="U39" s="9">
        <f t="shared" si="1"/>
        <v>0</v>
      </c>
      <c r="V39" s="9">
        <f t="shared" si="2"/>
        <v>0</v>
      </c>
    </row>
    <row r="40" spans="1:22" x14ac:dyDescent="0.25">
      <c r="A40" s="182">
        <v>45063</v>
      </c>
      <c r="B40" s="14"/>
      <c r="C40" s="6"/>
      <c r="D40" s="185"/>
      <c r="E40" s="15"/>
      <c r="F40" s="151"/>
      <c r="G40" s="151"/>
      <c r="H40" s="151"/>
      <c r="I40" s="15"/>
      <c r="J40" s="15"/>
      <c r="K40" s="15"/>
      <c r="L40" s="15"/>
      <c r="M40" s="15"/>
      <c r="N40" s="15"/>
      <c r="O40" s="15"/>
      <c r="R40" s="5"/>
      <c r="S40"/>
      <c r="T40" s="9">
        <f t="shared" si="0"/>
        <v>0</v>
      </c>
      <c r="U40" s="9">
        <f t="shared" si="1"/>
        <v>0</v>
      </c>
      <c r="V40" s="9">
        <f t="shared" si="2"/>
        <v>0</v>
      </c>
    </row>
    <row r="41" spans="1:22" x14ac:dyDescent="0.25">
      <c r="A41" s="182">
        <v>45063</v>
      </c>
      <c r="B41" s="16"/>
      <c r="C41" s="6"/>
      <c r="D41" s="185"/>
      <c r="E41" s="15"/>
      <c r="F41" s="151"/>
      <c r="G41" s="151"/>
      <c r="H41" s="151"/>
      <c r="I41" s="15"/>
      <c r="J41" s="15"/>
      <c r="K41" s="15"/>
      <c r="L41" s="15"/>
      <c r="M41" s="15"/>
      <c r="N41" s="15"/>
      <c r="O41" s="15"/>
      <c r="R41" s="5"/>
      <c r="S41"/>
      <c r="T41" s="9">
        <f t="shared" si="0"/>
        <v>0</v>
      </c>
      <c r="U41" s="9">
        <f t="shared" si="1"/>
        <v>0</v>
      </c>
      <c r="V41" s="9">
        <f t="shared" si="2"/>
        <v>0</v>
      </c>
    </row>
    <row r="42" spans="1:22" x14ac:dyDescent="0.25">
      <c r="A42" s="182">
        <v>45063</v>
      </c>
      <c r="B42" s="14"/>
      <c r="C42" s="6"/>
      <c r="D42" s="185"/>
      <c r="E42" s="15"/>
      <c r="F42" s="151"/>
      <c r="G42" s="151"/>
      <c r="H42" s="151"/>
      <c r="I42" s="15"/>
      <c r="J42" s="15"/>
      <c r="K42" s="15"/>
      <c r="L42" s="15"/>
      <c r="M42" s="15"/>
      <c r="N42" s="15"/>
      <c r="O42" s="15"/>
      <c r="R42" s="5"/>
      <c r="S42"/>
      <c r="T42" s="9">
        <f t="shared" si="0"/>
        <v>0</v>
      </c>
      <c r="U42" s="9">
        <f t="shared" si="1"/>
        <v>0</v>
      </c>
      <c r="V42" s="9">
        <f t="shared" si="2"/>
        <v>0</v>
      </c>
    </row>
    <row r="43" spans="1:22" x14ac:dyDescent="0.25">
      <c r="A43" s="182">
        <v>45063</v>
      </c>
      <c r="B43" s="16"/>
      <c r="C43" s="6"/>
      <c r="D43" s="185"/>
      <c r="E43" s="15"/>
      <c r="F43" s="151"/>
      <c r="G43" s="151"/>
      <c r="H43" s="151"/>
      <c r="I43" s="15"/>
      <c r="J43" s="15"/>
      <c r="K43" s="15"/>
      <c r="L43" s="15"/>
      <c r="M43" s="15"/>
      <c r="N43" s="15"/>
      <c r="O43" s="15"/>
      <c r="R43" s="5"/>
      <c r="S43"/>
      <c r="T43" s="9">
        <f t="shared" si="0"/>
        <v>0</v>
      </c>
      <c r="U43" s="9">
        <f t="shared" si="1"/>
        <v>0</v>
      </c>
      <c r="V43" s="9">
        <f t="shared" si="2"/>
        <v>0</v>
      </c>
    </row>
    <row r="44" spans="1:22" x14ac:dyDescent="0.25">
      <c r="A44" s="182">
        <v>45063</v>
      </c>
      <c r="B44" s="16"/>
      <c r="C44" s="6"/>
      <c r="D44" s="185"/>
      <c r="E44" s="15"/>
      <c r="F44" s="151"/>
      <c r="G44" s="151"/>
      <c r="H44" s="151"/>
      <c r="I44" s="15"/>
      <c r="J44" s="15"/>
      <c r="K44" s="15"/>
      <c r="L44" s="15"/>
      <c r="M44" s="15"/>
      <c r="N44" s="15"/>
      <c r="O44" s="15"/>
      <c r="R44" s="5"/>
      <c r="S44"/>
      <c r="T44" s="9">
        <f t="shared" si="0"/>
        <v>0</v>
      </c>
      <c r="U44" s="9">
        <f t="shared" si="1"/>
        <v>0</v>
      </c>
      <c r="V44" s="9">
        <f t="shared" si="2"/>
        <v>0</v>
      </c>
    </row>
    <row r="45" spans="1:22" x14ac:dyDescent="0.25">
      <c r="A45" s="182">
        <v>45063</v>
      </c>
      <c r="B45" s="14"/>
      <c r="C45" s="6"/>
      <c r="D45" s="185"/>
      <c r="E45" s="15"/>
      <c r="F45" s="151"/>
      <c r="G45" s="151"/>
      <c r="H45" s="151"/>
      <c r="I45" s="15"/>
      <c r="J45" s="15"/>
      <c r="K45" s="15"/>
      <c r="L45" s="15"/>
      <c r="M45" s="15"/>
      <c r="N45" s="15"/>
      <c r="O45" s="15"/>
      <c r="R45" s="5"/>
      <c r="S45"/>
      <c r="T45" s="9">
        <f t="shared" si="0"/>
        <v>0</v>
      </c>
      <c r="U45" s="9">
        <f t="shared" si="1"/>
        <v>0</v>
      </c>
      <c r="V45" s="9">
        <f t="shared" si="2"/>
        <v>0</v>
      </c>
    </row>
    <row r="46" spans="1:22" x14ac:dyDescent="0.25">
      <c r="A46" s="182">
        <v>45063</v>
      </c>
      <c r="B46" s="16"/>
      <c r="C46" s="6"/>
      <c r="D46" s="185"/>
      <c r="E46" s="15"/>
      <c r="F46" s="151"/>
      <c r="G46" s="151"/>
      <c r="H46" s="151"/>
      <c r="I46" s="15"/>
      <c r="J46" s="15"/>
      <c r="K46" s="15"/>
      <c r="L46" s="15"/>
      <c r="M46" s="15"/>
      <c r="N46" s="15"/>
      <c r="O46" s="15"/>
      <c r="R46" s="5"/>
      <c r="S46"/>
      <c r="T46" s="9">
        <f t="shared" si="0"/>
        <v>0</v>
      </c>
      <c r="U46" s="9">
        <f t="shared" si="1"/>
        <v>0</v>
      </c>
      <c r="V46" s="9">
        <f t="shared" si="2"/>
        <v>0</v>
      </c>
    </row>
    <row r="47" spans="1:22" x14ac:dyDescent="0.25">
      <c r="A47" s="182">
        <v>45063</v>
      </c>
      <c r="B47" s="16"/>
      <c r="C47" s="6"/>
      <c r="D47" s="185"/>
      <c r="E47" s="15"/>
      <c r="F47" s="151"/>
      <c r="G47" s="151"/>
      <c r="H47" s="151"/>
      <c r="I47" s="15"/>
      <c r="J47" s="15"/>
      <c r="K47" s="15"/>
      <c r="L47" s="15"/>
      <c r="M47" s="15"/>
      <c r="N47" s="15"/>
      <c r="O47" s="15"/>
      <c r="R47" s="5"/>
      <c r="S47"/>
      <c r="T47" s="9">
        <f t="shared" si="0"/>
        <v>0</v>
      </c>
      <c r="U47" s="9">
        <f t="shared" si="1"/>
        <v>0</v>
      </c>
      <c r="V47" s="9">
        <f t="shared" si="2"/>
        <v>0</v>
      </c>
    </row>
    <row r="48" spans="1:22" x14ac:dyDescent="0.25">
      <c r="A48" s="182">
        <v>45063</v>
      </c>
      <c r="B48" s="16"/>
      <c r="C48" s="6"/>
      <c r="D48" s="185"/>
      <c r="E48" s="15"/>
      <c r="F48" s="151"/>
      <c r="G48" s="151"/>
      <c r="H48" s="151"/>
      <c r="I48" s="15"/>
      <c r="J48" s="15"/>
      <c r="K48" s="15"/>
      <c r="L48" s="15"/>
      <c r="M48" s="15"/>
      <c r="N48" s="15"/>
      <c r="O48" s="15"/>
      <c r="R48" s="5"/>
      <c r="S48"/>
      <c r="T48" s="9">
        <f t="shared" si="0"/>
        <v>0</v>
      </c>
      <c r="U48" s="9">
        <f t="shared" si="1"/>
        <v>0</v>
      </c>
      <c r="V48" s="9">
        <f t="shared" si="2"/>
        <v>0</v>
      </c>
    </row>
    <row r="49" spans="1:22" x14ac:dyDescent="0.25">
      <c r="A49" s="182">
        <v>45063</v>
      </c>
      <c r="B49" s="14"/>
      <c r="C49" s="6"/>
      <c r="D49" s="185"/>
      <c r="E49" s="15"/>
      <c r="F49" s="151"/>
      <c r="G49" s="151"/>
      <c r="H49" s="151"/>
      <c r="I49" s="15"/>
      <c r="J49" s="15"/>
      <c r="K49" s="15"/>
      <c r="L49" s="15"/>
      <c r="M49" s="15"/>
      <c r="N49" s="15"/>
      <c r="O49" s="15"/>
      <c r="R49" s="5"/>
      <c r="S49"/>
      <c r="T49" s="9">
        <f t="shared" si="0"/>
        <v>0</v>
      </c>
      <c r="U49" s="9">
        <f t="shared" si="1"/>
        <v>0</v>
      </c>
      <c r="V49" s="9">
        <f t="shared" si="2"/>
        <v>0</v>
      </c>
    </row>
    <row r="50" spans="1:22" x14ac:dyDescent="0.25">
      <c r="A50" s="182">
        <v>45063</v>
      </c>
      <c r="B50" s="14"/>
      <c r="C50" s="6"/>
      <c r="D50" s="185"/>
      <c r="E50" s="15"/>
      <c r="F50" s="151"/>
      <c r="G50" s="151"/>
      <c r="H50" s="151"/>
      <c r="I50" s="15"/>
      <c r="J50" s="15"/>
      <c r="K50" s="15"/>
      <c r="L50" s="15"/>
      <c r="M50" s="15"/>
      <c r="N50" s="15"/>
      <c r="O50" s="15"/>
      <c r="R50" s="5"/>
      <c r="S50"/>
      <c r="T50" s="9">
        <f t="shared" si="0"/>
        <v>0</v>
      </c>
      <c r="U50" s="9">
        <f t="shared" si="1"/>
        <v>0</v>
      </c>
      <c r="V50" s="9">
        <f t="shared" si="2"/>
        <v>0</v>
      </c>
    </row>
    <row r="51" spans="1:22" x14ac:dyDescent="0.25">
      <c r="A51" s="182">
        <v>45063</v>
      </c>
      <c r="B51" s="14"/>
      <c r="C51" s="6"/>
      <c r="D51" s="185"/>
      <c r="E51" s="15"/>
      <c r="F51" s="151"/>
      <c r="G51" s="151"/>
      <c r="H51" s="151"/>
      <c r="I51" s="15"/>
      <c r="J51" s="15"/>
      <c r="K51" s="15"/>
      <c r="L51" s="15"/>
      <c r="M51" s="15"/>
      <c r="N51" s="15"/>
      <c r="O51" s="15"/>
      <c r="R51" s="5"/>
      <c r="S51"/>
      <c r="T51" s="9">
        <f t="shared" si="0"/>
        <v>0</v>
      </c>
      <c r="U51" s="9">
        <f t="shared" si="1"/>
        <v>0</v>
      </c>
      <c r="V51" s="9">
        <f t="shared" si="2"/>
        <v>0</v>
      </c>
    </row>
    <row r="52" spans="1:22" x14ac:dyDescent="0.25">
      <c r="A52" s="182">
        <v>45063</v>
      </c>
      <c r="B52" s="16"/>
      <c r="C52" s="6"/>
      <c r="D52" s="185"/>
      <c r="E52" s="15"/>
      <c r="F52" s="151"/>
      <c r="G52" s="151"/>
      <c r="H52" s="151"/>
      <c r="I52" s="15"/>
      <c r="J52" s="15"/>
      <c r="K52" s="15"/>
      <c r="L52" s="15"/>
      <c r="M52" s="15"/>
      <c r="N52" s="15"/>
      <c r="O52" s="15"/>
      <c r="R52" s="5"/>
      <c r="S52"/>
      <c r="T52" s="9">
        <f t="shared" si="0"/>
        <v>0</v>
      </c>
      <c r="U52" s="9">
        <f t="shared" si="1"/>
        <v>0</v>
      </c>
      <c r="V52" s="9">
        <f t="shared" si="2"/>
        <v>0</v>
      </c>
    </row>
    <row r="53" spans="1:22" x14ac:dyDescent="0.25">
      <c r="A53" s="182">
        <v>45063</v>
      </c>
      <c r="B53" s="14"/>
      <c r="C53" s="6"/>
      <c r="D53" s="185"/>
      <c r="E53" s="15"/>
      <c r="F53" s="151"/>
      <c r="G53" s="151"/>
      <c r="H53" s="151"/>
      <c r="I53" s="15"/>
      <c r="J53" s="15"/>
      <c r="K53" s="15"/>
      <c r="L53" s="15"/>
      <c r="M53" s="15"/>
      <c r="N53" s="15"/>
      <c r="O53" s="15"/>
      <c r="R53" s="5"/>
      <c r="S53"/>
      <c r="T53" s="9">
        <f t="shared" si="0"/>
        <v>0</v>
      </c>
      <c r="U53" s="9">
        <f t="shared" si="1"/>
        <v>0</v>
      </c>
      <c r="V53" s="9">
        <f t="shared" si="2"/>
        <v>0</v>
      </c>
    </row>
    <row r="54" spans="1:22" x14ac:dyDescent="0.25">
      <c r="A54" s="182">
        <v>45063</v>
      </c>
      <c r="B54" s="16"/>
      <c r="C54" s="6"/>
      <c r="D54" s="185"/>
      <c r="E54" s="15"/>
      <c r="F54" s="151"/>
      <c r="G54" s="151"/>
      <c r="H54" s="151"/>
      <c r="I54" s="15"/>
      <c r="J54" s="15"/>
      <c r="K54" s="15"/>
      <c r="L54" s="15"/>
      <c r="M54" s="15"/>
      <c r="N54" s="15"/>
      <c r="O54" s="15"/>
      <c r="R54" s="5"/>
      <c r="S54"/>
      <c r="T54" s="9">
        <f t="shared" si="0"/>
        <v>0</v>
      </c>
      <c r="U54" s="9">
        <f t="shared" si="1"/>
        <v>0</v>
      </c>
      <c r="V54" s="9">
        <f t="shared" si="2"/>
        <v>0</v>
      </c>
    </row>
    <row r="55" spans="1:22" x14ac:dyDescent="0.25">
      <c r="A55" s="182">
        <v>45063</v>
      </c>
      <c r="B55" s="14"/>
      <c r="C55" s="6"/>
      <c r="D55" s="185"/>
      <c r="E55" s="15"/>
      <c r="F55" s="151"/>
      <c r="G55" s="151"/>
      <c r="H55" s="151"/>
      <c r="I55" s="15"/>
      <c r="J55" s="15"/>
      <c r="K55" s="15"/>
      <c r="L55" s="15"/>
      <c r="M55" s="15"/>
      <c r="N55" s="15"/>
      <c r="O55" s="15"/>
      <c r="R55" s="5"/>
      <c r="S55"/>
      <c r="T55" s="9">
        <f t="shared" si="0"/>
        <v>0</v>
      </c>
      <c r="U55" s="9">
        <f t="shared" si="1"/>
        <v>0</v>
      </c>
      <c r="V55" s="9">
        <f t="shared" si="2"/>
        <v>0</v>
      </c>
    </row>
    <row r="56" spans="1:22" x14ac:dyDescent="0.25">
      <c r="A56" s="182">
        <v>45063</v>
      </c>
      <c r="B56" s="16"/>
      <c r="C56" s="6"/>
      <c r="D56" s="185"/>
      <c r="E56" s="15"/>
      <c r="F56" s="151"/>
      <c r="G56" s="151"/>
      <c r="H56" s="151"/>
      <c r="I56" s="15"/>
      <c r="J56" s="15"/>
      <c r="K56" s="15"/>
      <c r="L56" s="15"/>
      <c r="M56" s="15"/>
      <c r="N56" s="15"/>
      <c r="O56" s="15"/>
      <c r="R56" s="5"/>
      <c r="S56"/>
      <c r="T56" s="9">
        <f t="shared" si="0"/>
        <v>0</v>
      </c>
      <c r="U56" s="9">
        <f t="shared" si="1"/>
        <v>0</v>
      </c>
      <c r="V56" s="9">
        <f t="shared" si="2"/>
        <v>0</v>
      </c>
    </row>
    <row r="57" spans="1:22" x14ac:dyDescent="0.25">
      <c r="A57" s="182">
        <v>45063</v>
      </c>
      <c r="B57" s="14"/>
      <c r="C57" s="6"/>
      <c r="D57" s="185"/>
      <c r="E57" s="15"/>
      <c r="F57" s="151"/>
      <c r="G57" s="151"/>
      <c r="H57" s="151"/>
      <c r="I57" s="15"/>
      <c r="J57" s="15"/>
      <c r="K57" s="15"/>
      <c r="L57" s="15"/>
      <c r="M57" s="15"/>
      <c r="N57" s="15"/>
      <c r="O57" s="15"/>
      <c r="R57" s="5"/>
      <c r="S57"/>
      <c r="T57" s="9">
        <f t="shared" si="0"/>
        <v>0</v>
      </c>
      <c r="U57" s="9">
        <f t="shared" si="1"/>
        <v>0</v>
      </c>
      <c r="V57" s="9">
        <f t="shared" si="2"/>
        <v>0</v>
      </c>
    </row>
    <row r="58" spans="1:22" x14ac:dyDescent="0.25">
      <c r="A58" s="182">
        <v>45063</v>
      </c>
      <c r="B58" s="16"/>
      <c r="C58" s="6"/>
      <c r="D58" s="185"/>
      <c r="E58" s="15"/>
      <c r="F58" s="151"/>
      <c r="G58" s="151"/>
      <c r="H58" s="151"/>
      <c r="I58" s="15"/>
      <c r="J58" s="15"/>
      <c r="K58" s="15"/>
      <c r="L58" s="15"/>
      <c r="M58" s="15"/>
      <c r="N58" s="15"/>
      <c r="O58" s="15"/>
      <c r="R58" s="5"/>
      <c r="S58"/>
      <c r="T58" s="9">
        <f t="shared" si="0"/>
        <v>0</v>
      </c>
      <c r="U58" s="9">
        <f t="shared" si="1"/>
        <v>0</v>
      </c>
      <c r="V58" s="9">
        <f t="shared" si="2"/>
        <v>0</v>
      </c>
    </row>
    <row r="59" spans="1:22" x14ac:dyDescent="0.25">
      <c r="A59" s="182">
        <v>45063</v>
      </c>
      <c r="B59" s="14"/>
      <c r="C59" s="6"/>
      <c r="D59" s="185"/>
      <c r="E59" s="15"/>
      <c r="F59" s="151"/>
      <c r="G59" s="151"/>
      <c r="H59" s="151"/>
      <c r="I59" s="15"/>
      <c r="J59" s="15"/>
      <c r="K59" s="15"/>
      <c r="L59" s="15"/>
      <c r="M59" s="15"/>
      <c r="N59" s="15"/>
      <c r="O59" s="15"/>
      <c r="R59" s="5"/>
      <c r="S59"/>
      <c r="T59" s="9">
        <f t="shared" si="0"/>
        <v>0</v>
      </c>
      <c r="U59" s="9">
        <f t="shared" si="1"/>
        <v>0</v>
      </c>
      <c r="V59" s="9">
        <f t="shared" si="2"/>
        <v>0</v>
      </c>
    </row>
    <row r="60" spans="1:22" x14ac:dyDescent="0.25">
      <c r="A60" s="182">
        <v>45063</v>
      </c>
      <c r="B60" s="16"/>
      <c r="C60" s="6"/>
      <c r="D60" s="18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R60" s="5"/>
      <c r="S60"/>
      <c r="T60" s="9">
        <f t="shared" si="0"/>
        <v>0</v>
      </c>
      <c r="U60" s="9">
        <f t="shared" si="1"/>
        <v>0</v>
      </c>
      <c r="V60" s="9">
        <f t="shared" si="2"/>
        <v>0</v>
      </c>
    </row>
    <row r="61" spans="1:22" x14ac:dyDescent="0.25">
      <c r="A61" s="182">
        <v>45063</v>
      </c>
      <c r="B61" s="16"/>
      <c r="C61" s="6"/>
      <c r="D61" s="18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R61" s="5"/>
      <c r="S61"/>
      <c r="T61" s="9">
        <f t="shared" si="0"/>
        <v>0</v>
      </c>
      <c r="U61" s="9">
        <f t="shared" si="1"/>
        <v>0</v>
      </c>
      <c r="V61" s="9">
        <f t="shared" si="2"/>
        <v>0</v>
      </c>
    </row>
    <row r="62" spans="1:22" x14ac:dyDescent="0.25">
      <c r="A62" s="182">
        <v>45063</v>
      </c>
      <c r="B62" s="16"/>
      <c r="C62" s="6"/>
      <c r="D62" s="18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R62" s="5"/>
      <c r="S62"/>
      <c r="T62" s="9">
        <f t="shared" si="0"/>
        <v>0</v>
      </c>
      <c r="U62" s="9">
        <f t="shared" si="1"/>
        <v>0</v>
      </c>
      <c r="V62" s="9">
        <f t="shared" si="2"/>
        <v>0</v>
      </c>
    </row>
    <row r="63" spans="1:22" x14ac:dyDescent="0.25">
      <c r="A63" s="182">
        <v>45063</v>
      </c>
      <c r="B63" s="16"/>
      <c r="C63" s="6"/>
      <c r="D63" s="18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R63" s="5"/>
      <c r="S63"/>
      <c r="T63" s="9">
        <f t="shared" si="0"/>
        <v>0</v>
      </c>
      <c r="U63" s="9">
        <f t="shared" si="1"/>
        <v>0</v>
      </c>
      <c r="V63" s="9">
        <f t="shared" si="2"/>
        <v>0</v>
      </c>
    </row>
    <row r="64" spans="1:22" x14ac:dyDescent="0.25">
      <c r="A64" s="182">
        <v>45063</v>
      </c>
      <c r="B64" s="14"/>
      <c r="C64" s="6"/>
      <c r="D64" s="18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R64" s="5"/>
      <c r="S64"/>
      <c r="T64" s="9">
        <f t="shared" si="0"/>
        <v>0</v>
      </c>
      <c r="U64" s="9">
        <f t="shared" si="1"/>
        <v>0</v>
      </c>
      <c r="V64" s="9">
        <f t="shared" si="2"/>
        <v>0</v>
      </c>
    </row>
    <row r="65" spans="1:22" x14ac:dyDescent="0.25">
      <c r="A65" s="182">
        <v>45063</v>
      </c>
      <c r="B65" s="14"/>
      <c r="C65" s="6"/>
      <c r="D65" s="18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R65" s="5"/>
      <c r="S65"/>
      <c r="T65" s="9">
        <f t="shared" si="0"/>
        <v>0</v>
      </c>
      <c r="U65" s="9">
        <f t="shared" si="1"/>
        <v>0</v>
      </c>
      <c r="V65" s="9">
        <f t="shared" si="2"/>
        <v>0</v>
      </c>
    </row>
    <row r="66" spans="1:22" x14ac:dyDescent="0.25">
      <c r="A66" s="182">
        <v>45063</v>
      </c>
      <c r="B66" s="14"/>
      <c r="C66" s="6"/>
      <c r="D66" s="18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R66" s="5"/>
      <c r="S66"/>
      <c r="T66" s="9">
        <f t="shared" si="0"/>
        <v>0</v>
      </c>
      <c r="U66" s="9">
        <f t="shared" si="1"/>
        <v>0</v>
      </c>
      <c r="V66" s="9">
        <f t="shared" si="2"/>
        <v>0</v>
      </c>
    </row>
    <row r="67" spans="1:22" x14ac:dyDescent="0.25">
      <c r="A67" s="182">
        <v>45063</v>
      </c>
      <c r="B67" s="16"/>
      <c r="C67" s="6"/>
      <c r="D67" s="18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R67" s="5"/>
      <c r="S67"/>
      <c r="T67" s="9">
        <f t="shared" si="0"/>
        <v>0</v>
      </c>
      <c r="U67" s="9">
        <f t="shared" si="1"/>
        <v>0</v>
      </c>
      <c r="V67" s="9">
        <f t="shared" si="2"/>
        <v>0</v>
      </c>
    </row>
    <row r="68" spans="1:22" x14ac:dyDescent="0.25">
      <c r="A68" s="182">
        <v>45063</v>
      </c>
      <c r="B68" s="14"/>
      <c r="C68" s="6"/>
      <c r="D68" s="18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R68" s="5"/>
      <c r="S68"/>
      <c r="T68" s="9">
        <f t="shared" ref="T68:T105" si="3">COUNTIF(E68,"SSB")</f>
        <v>0</v>
      </c>
      <c r="U68" s="9">
        <f t="shared" ref="U68:U105" si="4">COUNTIF(E68,"CW")</f>
        <v>0</v>
      </c>
      <c r="V68" s="9">
        <f t="shared" ref="V68:V105" si="5">COUNTIF(E68,"RTTY")</f>
        <v>0</v>
      </c>
    </row>
    <row r="69" spans="1:22" x14ac:dyDescent="0.25">
      <c r="A69" s="182">
        <v>45063</v>
      </c>
      <c r="B69" s="16"/>
      <c r="C69" s="6"/>
      <c r="D69" s="18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R69" s="5"/>
      <c r="S69"/>
      <c r="T69" s="9">
        <f t="shared" si="3"/>
        <v>0</v>
      </c>
      <c r="U69" s="9">
        <f t="shared" si="4"/>
        <v>0</v>
      </c>
      <c r="V69" s="9">
        <f t="shared" si="5"/>
        <v>0</v>
      </c>
    </row>
    <row r="70" spans="1:22" x14ac:dyDescent="0.25">
      <c r="A70" s="182">
        <v>45063</v>
      </c>
      <c r="B70" s="16"/>
      <c r="C70" s="6"/>
      <c r="D70" s="18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R70" s="5"/>
      <c r="S70"/>
      <c r="T70" s="9">
        <f t="shared" si="3"/>
        <v>0</v>
      </c>
      <c r="U70" s="9">
        <f t="shared" si="4"/>
        <v>0</v>
      </c>
      <c r="V70" s="9">
        <f t="shared" si="5"/>
        <v>0</v>
      </c>
    </row>
    <row r="71" spans="1:22" x14ac:dyDescent="0.25">
      <c r="A71" s="182">
        <v>45063</v>
      </c>
      <c r="B71" s="14"/>
      <c r="C71" s="6"/>
      <c r="D71" s="18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R71" s="5"/>
      <c r="S71"/>
      <c r="T71" s="9">
        <f t="shared" si="3"/>
        <v>0</v>
      </c>
      <c r="U71" s="9">
        <f t="shared" si="4"/>
        <v>0</v>
      </c>
      <c r="V71" s="9">
        <f t="shared" si="5"/>
        <v>0</v>
      </c>
    </row>
    <row r="72" spans="1:22" x14ac:dyDescent="0.25">
      <c r="A72" s="182">
        <v>45063</v>
      </c>
      <c r="B72" s="14"/>
      <c r="C72" s="6"/>
      <c r="D72" s="18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R72" s="5"/>
      <c r="S72"/>
      <c r="T72" s="9">
        <f t="shared" si="3"/>
        <v>0</v>
      </c>
      <c r="U72" s="9">
        <f t="shared" si="4"/>
        <v>0</v>
      </c>
      <c r="V72" s="9">
        <f t="shared" si="5"/>
        <v>0</v>
      </c>
    </row>
    <row r="73" spans="1:22" x14ac:dyDescent="0.25">
      <c r="A73" s="182">
        <v>45063</v>
      </c>
      <c r="B73" s="16"/>
      <c r="C73" s="6"/>
      <c r="D73" s="18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R73" s="5"/>
      <c r="S73"/>
      <c r="T73" s="9">
        <f t="shared" si="3"/>
        <v>0</v>
      </c>
      <c r="U73" s="9">
        <f t="shared" si="4"/>
        <v>0</v>
      </c>
      <c r="V73" s="9">
        <f t="shared" si="5"/>
        <v>0</v>
      </c>
    </row>
    <row r="74" spans="1:22" x14ac:dyDescent="0.25">
      <c r="A74" s="182">
        <v>45063</v>
      </c>
      <c r="B74" s="14"/>
      <c r="C74" s="6"/>
      <c r="D74" s="18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R74" s="5"/>
      <c r="S74"/>
      <c r="T74" s="9">
        <f t="shared" si="3"/>
        <v>0</v>
      </c>
      <c r="U74" s="9">
        <f t="shared" si="4"/>
        <v>0</v>
      </c>
      <c r="V74" s="9">
        <f t="shared" si="5"/>
        <v>0</v>
      </c>
    </row>
    <row r="75" spans="1:22" x14ac:dyDescent="0.25">
      <c r="A75" s="182">
        <v>45063</v>
      </c>
      <c r="B75" s="14"/>
      <c r="C75" s="6"/>
      <c r="D75" s="18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R75" s="5"/>
      <c r="S75"/>
      <c r="T75" s="9">
        <f t="shared" si="3"/>
        <v>0</v>
      </c>
      <c r="U75" s="9">
        <f t="shared" si="4"/>
        <v>0</v>
      </c>
      <c r="V75" s="9">
        <f t="shared" si="5"/>
        <v>0</v>
      </c>
    </row>
    <row r="76" spans="1:22" x14ac:dyDescent="0.25">
      <c r="A76" s="182">
        <v>45063</v>
      </c>
      <c r="B76" s="14"/>
      <c r="C76" s="6"/>
      <c r="D76" s="18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R76" s="5"/>
      <c r="S76"/>
      <c r="T76" s="9">
        <f t="shared" si="3"/>
        <v>0</v>
      </c>
      <c r="U76" s="9">
        <f t="shared" si="4"/>
        <v>0</v>
      </c>
      <c r="V76" s="9">
        <f t="shared" si="5"/>
        <v>0</v>
      </c>
    </row>
    <row r="77" spans="1:22" x14ac:dyDescent="0.25">
      <c r="A77" s="182">
        <v>45063</v>
      </c>
      <c r="B77" s="16"/>
      <c r="C77" s="6"/>
      <c r="D77" s="18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R77" s="5"/>
      <c r="S77"/>
      <c r="T77" s="9">
        <f t="shared" si="3"/>
        <v>0</v>
      </c>
      <c r="U77" s="9">
        <f t="shared" si="4"/>
        <v>0</v>
      </c>
      <c r="V77" s="9">
        <f t="shared" si="5"/>
        <v>0</v>
      </c>
    </row>
    <row r="78" spans="1:22" x14ac:dyDescent="0.25">
      <c r="A78" s="182">
        <v>45063</v>
      </c>
      <c r="B78" s="14"/>
      <c r="C78" s="6"/>
      <c r="D78" s="18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R78" s="5"/>
      <c r="S78"/>
      <c r="T78" s="9">
        <f t="shared" si="3"/>
        <v>0</v>
      </c>
      <c r="U78" s="9">
        <f t="shared" si="4"/>
        <v>0</v>
      </c>
      <c r="V78" s="9">
        <f t="shared" si="5"/>
        <v>0</v>
      </c>
    </row>
    <row r="79" spans="1:22" x14ac:dyDescent="0.25">
      <c r="A79" s="182">
        <v>45063</v>
      </c>
      <c r="B79" s="16"/>
      <c r="C79" s="6"/>
      <c r="D79" s="18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R79" s="5"/>
      <c r="S79"/>
      <c r="T79" s="9">
        <f t="shared" si="3"/>
        <v>0</v>
      </c>
      <c r="U79" s="9">
        <f t="shared" si="4"/>
        <v>0</v>
      </c>
      <c r="V79" s="9">
        <f t="shared" si="5"/>
        <v>0</v>
      </c>
    </row>
    <row r="80" spans="1:22" x14ac:dyDescent="0.25">
      <c r="A80" s="182">
        <v>45063</v>
      </c>
      <c r="B80" s="14"/>
      <c r="C80" s="6"/>
      <c r="D80" s="18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R80" s="5"/>
      <c r="S80"/>
      <c r="T80" s="9">
        <f t="shared" si="3"/>
        <v>0</v>
      </c>
      <c r="U80" s="9">
        <f t="shared" si="4"/>
        <v>0</v>
      </c>
      <c r="V80" s="9">
        <f t="shared" si="5"/>
        <v>0</v>
      </c>
    </row>
    <row r="81" spans="1:22" x14ac:dyDescent="0.25">
      <c r="A81" s="182">
        <v>45063</v>
      </c>
      <c r="B81" s="16"/>
      <c r="C81" s="6"/>
      <c r="D81" s="18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R81" s="5"/>
      <c r="S81"/>
      <c r="T81" s="9">
        <f t="shared" si="3"/>
        <v>0</v>
      </c>
      <c r="U81" s="9">
        <f t="shared" si="4"/>
        <v>0</v>
      </c>
      <c r="V81" s="9">
        <f t="shared" si="5"/>
        <v>0</v>
      </c>
    </row>
    <row r="82" spans="1:22" x14ac:dyDescent="0.25">
      <c r="A82" s="182">
        <v>45063</v>
      </c>
      <c r="B82" s="14"/>
      <c r="C82" s="6"/>
      <c r="D82" s="18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R82" s="5"/>
      <c r="S82"/>
      <c r="T82" s="9">
        <f t="shared" si="3"/>
        <v>0</v>
      </c>
      <c r="U82" s="9">
        <f t="shared" si="4"/>
        <v>0</v>
      </c>
      <c r="V82" s="9">
        <f t="shared" si="5"/>
        <v>0</v>
      </c>
    </row>
    <row r="83" spans="1:22" x14ac:dyDescent="0.25">
      <c r="A83" s="182">
        <v>45063</v>
      </c>
      <c r="B83" s="14"/>
      <c r="C83" s="6"/>
      <c r="D83" s="18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R83" s="5"/>
      <c r="S83"/>
      <c r="T83" s="9">
        <f t="shared" si="3"/>
        <v>0</v>
      </c>
      <c r="U83" s="9">
        <f t="shared" si="4"/>
        <v>0</v>
      </c>
      <c r="V83" s="9">
        <f t="shared" si="5"/>
        <v>0</v>
      </c>
    </row>
    <row r="84" spans="1:22" x14ac:dyDescent="0.25">
      <c r="A84" s="182">
        <v>45063</v>
      </c>
      <c r="B84" s="16"/>
      <c r="C84" s="6"/>
      <c r="D84" s="18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R84" s="5"/>
      <c r="S84"/>
      <c r="T84" s="9">
        <f t="shared" si="3"/>
        <v>0</v>
      </c>
      <c r="U84" s="9">
        <f t="shared" si="4"/>
        <v>0</v>
      </c>
      <c r="V84" s="9">
        <f t="shared" si="5"/>
        <v>0</v>
      </c>
    </row>
    <row r="85" spans="1:22" x14ac:dyDescent="0.25">
      <c r="A85" s="182">
        <v>45063</v>
      </c>
      <c r="B85" s="16"/>
      <c r="C85" s="6"/>
      <c r="D85" s="18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R85" s="5"/>
      <c r="S85"/>
      <c r="T85" s="9">
        <f t="shared" si="3"/>
        <v>0</v>
      </c>
      <c r="U85" s="9">
        <f t="shared" si="4"/>
        <v>0</v>
      </c>
      <c r="V85" s="9">
        <f t="shared" si="5"/>
        <v>0</v>
      </c>
    </row>
    <row r="86" spans="1:22" x14ac:dyDescent="0.25">
      <c r="A86" s="182">
        <v>45063</v>
      </c>
      <c r="B86" s="16"/>
      <c r="C86" s="6"/>
      <c r="D86" s="18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R86" s="5"/>
      <c r="S86"/>
      <c r="T86" s="9">
        <f t="shared" si="3"/>
        <v>0</v>
      </c>
      <c r="U86" s="9">
        <f t="shared" si="4"/>
        <v>0</v>
      </c>
      <c r="V86" s="9">
        <f t="shared" si="5"/>
        <v>0</v>
      </c>
    </row>
    <row r="87" spans="1:22" x14ac:dyDescent="0.25">
      <c r="A87" s="182">
        <v>45063</v>
      </c>
      <c r="B87" s="14"/>
      <c r="C87" s="6"/>
      <c r="D87" s="18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R87" s="5"/>
      <c r="S87"/>
      <c r="T87" s="9">
        <f t="shared" si="3"/>
        <v>0</v>
      </c>
      <c r="U87" s="9">
        <f t="shared" si="4"/>
        <v>0</v>
      </c>
      <c r="V87" s="9">
        <f t="shared" si="5"/>
        <v>0</v>
      </c>
    </row>
    <row r="88" spans="1:22" x14ac:dyDescent="0.25">
      <c r="A88" s="182">
        <v>45063</v>
      </c>
      <c r="B88" s="14"/>
      <c r="C88" s="6"/>
      <c r="D88" s="18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R88" s="5"/>
      <c r="S88"/>
      <c r="T88" s="9">
        <f t="shared" si="3"/>
        <v>0</v>
      </c>
      <c r="U88" s="9">
        <f t="shared" si="4"/>
        <v>0</v>
      </c>
      <c r="V88" s="9">
        <f t="shared" si="5"/>
        <v>0</v>
      </c>
    </row>
    <row r="89" spans="1:22" x14ac:dyDescent="0.25">
      <c r="A89" s="182">
        <v>45063</v>
      </c>
      <c r="B89" s="14"/>
      <c r="C89" s="6"/>
      <c r="D89" s="18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R89" s="5"/>
      <c r="S89"/>
      <c r="T89" s="9">
        <f t="shared" si="3"/>
        <v>0</v>
      </c>
      <c r="U89" s="9">
        <f t="shared" si="4"/>
        <v>0</v>
      </c>
      <c r="V89" s="9">
        <f t="shared" si="5"/>
        <v>0</v>
      </c>
    </row>
    <row r="90" spans="1:22" x14ac:dyDescent="0.25">
      <c r="A90" s="182">
        <v>45063</v>
      </c>
      <c r="B90" s="14"/>
      <c r="C90" s="6"/>
      <c r="D90" s="18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R90" s="5"/>
      <c r="S90"/>
      <c r="T90" s="9">
        <f t="shared" si="3"/>
        <v>0</v>
      </c>
      <c r="U90" s="9">
        <f t="shared" si="4"/>
        <v>0</v>
      </c>
      <c r="V90" s="9">
        <f t="shared" si="5"/>
        <v>0</v>
      </c>
    </row>
    <row r="91" spans="1:22" x14ac:dyDescent="0.25">
      <c r="A91" s="182">
        <v>45063</v>
      </c>
      <c r="B91" s="16"/>
      <c r="C91" s="6"/>
      <c r="D91" s="18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R91" s="5"/>
      <c r="S91"/>
      <c r="T91" s="9">
        <f t="shared" si="3"/>
        <v>0</v>
      </c>
      <c r="U91" s="9">
        <f t="shared" si="4"/>
        <v>0</v>
      </c>
      <c r="V91" s="9">
        <f t="shared" si="5"/>
        <v>0</v>
      </c>
    </row>
    <row r="92" spans="1:22" x14ac:dyDescent="0.25">
      <c r="A92" s="182">
        <v>45063</v>
      </c>
      <c r="B92" s="14"/>
      <c r="C92" s="6"/>
      <c r="D92" s="18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R92" s="5"/>
      <c r="S92"/>
      <c r="T92" s="9">
        <f t="shared" si="3"/>
        <v>0</v>
      </c>
      <c r="U92" s="9">
        <f t="shared" si="4"/>
        <v>0</v>
      </c>
      <c r="V92" s="9">
        <f t="shared" si="5"/>
        <v>0</v>
      </c>
    </row>
    <row r="93" spans="1:22" x14ac:dyDescent="0.25">
      <c r="A93" s="182">
        <v>45063</v>
      </c>
      <c r="B93" s="16"/>
      <c r="C93" s="6"/>
      <c r="D93" s="18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R93" s="5"/>
      <c r="S93"/>
      <c r="T93" s="9">
        <f t="shared" si="3"/>
        <v>0</v>
      </c>
      <c r="U93" s="9">
        <f t="shared" si="4"/>
        <v>0</v>
      </c>
      <c r="V93" s="9">
        <f t="shared" si="5"/>
        <v>0</v>
      </c>
    </row>
    <row r="94" spans="1:22" x14ac:dyDescent="0.25">
      <c r="A94" s="182">
        <v>45063</v>
      </c>
      <c r="B94" s="14"/>
      <c r="C94" s="6"/>
      <c r="D94" s="18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R94" s="5"/>
      <c r="S94"/>
      <c r="T94" s="9">
        <f t="shared" si="3"/>
        <v>0</v>
      </c>
      <c r="U94" s="9">
        <f t="shared" si="4"/>
        <v>0</v>
      </c>
      <c r="V94" s="9">
        <f t="shared" si="5"/>
        <v>0</v>
      </c>
    </row>
    <row r="95" spans="1:22" x14ac:dyDescent="0.25">
      <c r="A95" s="182">
        <v>45063</v>
      </c>
      <c r="B95" s="14"/>
      <c r="C95" s="6"/>
      <c r="D95" s="18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R95" s="5"/>
      <c r="S95"/>
      <c r="T95" s="9">
        <f t="shared" si="3"/>
        <v>0</v>
      </c>
      <c r="U95" s="9">
        <f t="shared" si="4"/>
        <v>0</v>
      </c>
      <c r="V95" s="9">
        <f t="shared" si="5"/>
        <v>0</v>
      </c>
    </row>
    <row r="96" spans="1:22" x14ac:dyDescent="0.25">
      <c r="A96" s="182">
        <v>45063</v>
      </c>
      <c r="B96" s="16"/>
      <c r="C96" s="6"/>
      <c r="D96" s="18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R96" s="5"/>
      <c r="S96"/>
      <c r="T96" s="9">
        <f t="shared" si="3"/>
        <v>0</v>
      </c>
      <c r="U96" s="9">
        <f t="shared" si="4"/>
        <v>0</v>
      </c>
      <c r="V96" s="9">
        <f t="shared" si="5"/>
        <v>0</v>
      </c>
    </row>
    <row r="97" spans="1:22" x14ac:dyDescent="0.25">
      <c r="A97" s="182">
        <v>45063</v>
      </c>
      <c r="B97" s="16"/>
      <c r="C97" s="6"/>
      <c r="D97" s="18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R97" s="5"/>
      <c r="S97"/>
      <c r="T97" s="9">
        <f t="shared" si="3"/>
        <v>0</v>
      </c>
      <c r="U97" s="9">
        <f t="shared" si="4"/>
        <v>0</v>
      </c>
      <c r="V97" s="9">
        <f t="shared" si="5"/>
        <v>0</v>
      </c>
    </row>
    <row r="98" spans="1:22" x14ac:dyDescent="0.25">
      <c r="A98" s="182">
        <v>45063</v>
      </c>
      <c r="B98" s="14"/>
      <c r="C98" s="6"/>
      <c r="D98" s="18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R98" s="5"/>
      <c r="S98"/>
      <c r="T98" s="9">
        <f t="shared" si="3"/>
        <v>0</v>
      </c>
      <c r="U98" s="9">
        <f t="shared" si="4"/>
        <v>0</v>
      </c>
      <c r="V98" s="9">
        <f t="shared" si="5"/>
        <v>0</v>
      </c>
    </row>
    <row r="99" spans="1:22" x14ac:dyDescent="0.25">
      <c r="A99" s="182">
        <v>45063</v>
      </c>
      <c r="B99" s="16"/>
      <c r="C99" s="6"/>
      <c r="D99" s="18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R99" s="5"/>
      <c r="S99"/>
      <c r="T99" s="9">
        <f t="shared" si="3"/>
        <v>0</v>
      </c>
      <c r="U99" s="9">
        <f t="shared" si="4"/>
        <v>0</v>
      </c>
      <c r="V99" s="9">
        <f t="shared" si="5"/>
        <v>0</v>
      </c>
    </row>
    <row r="100" spans="1:22" x14ac:dyDescent="0.25">
      <c r="A100" s="182">
        <v>45063</v>
      </c>
      <c r="B100" s="14"/>
      <c r="C100" s="6"/>
      <c r="D100" s="18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R100" s="5"/>
      <c r="S100"/>
      <c r="T100" s="9">
        <f t="shared" si="3"/>
        <v>0</v>
      </c>
      <c r="U100" s="9">
        <f t="shared" si="4"/>
        <v>0</v>
      </c>
      <c r="V100" s="9">
        <f t="shared" si="5"/>
        <v>0</v>
      </c>
    </row>
    <row r="101" spans="1:22" x14ac:dyDescent="0.25">
      <c r="A101" s="182">
        <v>45063</v>
      </c>
      <c r="B101" s="14"/>
      <c r="C101" s="6"/>
      <c r="D101" s="18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R101" s="5"/>
      <c r="S101"/>
      <c r="T101" s="9">
        <f t="shared" si="3"/>
        <v>0</v>
      </c>
      <c r="U101" s="9">
        <f t="shared" si="4"/>
        <v>0</v>
      </c>
      <c r="V101" s="9">
        <f t="shared" si="5"/>
        <v>0</v>
      </c>
    </row>
    <row r="102" spans="1:22" x14ac:dyDescent="0.25">
      <c r="A102" s="182">
        <v>45063</v>
      </c>
      <c r="B102" s="14"/>
      <c r="C102" s="6"/>
      <c r="D102" s="18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R102" s="5"/>
      <c r="S102"/>
      <c r="T102" s="9">
        <f t="shared" si="3"/>
        <v>0</v>
      </c>
      <c r="U102" s="9">
        <f t="shared" si="4"/>
        <v>0</v>
      </c>
      <c r="V102" s="9">
        <f t="shared" si="5"/>
        <v>0</v>
      </c>
    </row>
    <row r="103" spans="1:22" x14ac:dyDescent="0.25">
      <c r="A103" s="182">
        <v>45063</v>
      </c>
      <c r="B103" s="14"/>
      <c r="C103" s="6"/>
      <c r="D103" s="18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R103" s="5"/>
      <c r="S103"/>
      <c r="T103" s="9">
        <f t="shared" si="3"/>
        <v>0</v>
      </c>
      <c r="U103" s="9">
        <f t="shared" si="4"/>
        <v>0</v>
      </c>
      <c r="V103" s="9">
        <f t="shared" si="5"/>
        <v>0</v>
      </c>
    </row>
    <row r="104" spans="1:22" x14ac:dyDescent="0.25">
      <c r="A104" s="182">
        <v>45063</v>
      </c>
      <c r="B104" s="16"/>
      <c r="C104" s="6"/>
      <c r="D104" s="18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R104" s="5"/>
      <c r="S104"/>
      <c r="T104" s="9">
        <f t="shared" si="3"/>
        <v>0</v>
      </c>
      <c r="U104" s="9">
        <f t="shared" si="4"/>
        <v>0</v>
      </c>
      <c r="V104" s="9">
        <f t="shared" si="5"/>
        <v>0</v>
      </c>
    </row>
    <row r="105" spans="1:22" x14ac:dyDescent="0.25">
      <c r="A105" s="182">
        <v>45063</v>
      </c>
      <c r="B105" s="16"/>
      <c r="C105" s="6"/>
      <c r="D105" s="185"/>
      <c r="E105" s="6"/>
      <c r="F105" s="17"/>
      <c r="G105" s="17"/>
      <c r="H105" s="17"/>
      <c r="I105" s="8"/>
      <c r="J105" s="8"/>
      <c r="K105" s="8"/>
      <c r="L105" s="17"/>
      <c r="M105" s="17"/>
      <c r="N105" s="17"/>
      <c r="O105" s="6"/>
      <c r="R105" s="5"/>
      <c r="S105"/>
      <c r="T105" s="9">
        <f t="shared" si="3"/>
        <v>0</v>
      </c>
      <c r="U105" s="9">
        <f t="shared" si="4"/>
        <v>0</v>
      </c>
      <c r="V105" s="9">
        <f t="shared" si="5"/>
        <v>0</v>
      </c>
    </row>
    <row r="106" spans="1:22" x14ac:dyDescent="0.25">
      <c r="A106" s="13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V106" s="186"/>
    </row>
    <row r="107" spans="1:22" x14ac:dyDescent="0.25">
      <c r="A107" s="13"/>
      <c r="B107" s="16"/>
      <c r="C107" s="18"/>
      <c r="D107" s="7"/>
      <c r="E107" s="7"/>
      <c r="F107" s="19"/>
      <c r="G107" s="19"/>
      <c r="H107" s="9"/>
      <c r="I107" s="9"/>
      <c r="J107" s="9"/>
      <c r="K107" s="9"/>
    </row>
    <row r="108" spans="1:22" x14ac:dyDescent="0.25">
      <c r="A108" s="13"/>
      <c r="B108" s="14"/>
      <c r="C108" s="18"/>
      <c r="D108" s="7"/>
      <c r="E108" s="7"/>
      <c r="F108" s="19"/>
      <c r="G108" s="19"/>
      <c r="H108" s="9"/>
      <c r="I108" s="9"/>
      <c r="J108" s="9"/>
      <c r="K108" s="9"/>
    </row>
    <row r="109" spans="1:22" x14ac:dyDescent="0.25">
      <c r="A109" s="13"/>
      <c r="B109" s="16"/>
      <c r="C109" s="18"/>
      <c r="D109" s="7"/>
      <c r="E109" s="7"/>
      <c r="F109" s="19"/>
      <c r="G109" s="19"/>
      <c r="H109" s="9"/>
      <c r="I109" s="9"/>
      <c r="J109" s="9"/>
      <c r="K109" s="9"/>
    </row>
    <row r="110" spans="1:22" x14ac:dyDescent="0.25">
      <c r="A110" s="13"/>
      <c r="B110" s="14"/>
      <c r="C110" s="18"/>
      <c r="D110" s="7"/>
      <c r="E110" s="7"/>
      <c r="F110" s="19"/>
      <c r="G110" s="19"/>
      <c r="H110" s="9"/>
      <c r="I110" s="9"/>
      <c r="J110" s="9"/>
      <c r="K110" s="9"/>
    </row>
    <row r="111" spans="1:22" x14ac:dyDescent="0.25">
      <c r="A111" s="13"/>
      <c r="B111" s="16"/>
      <c r="C111" s="18"/>
      <c r="D111" s="7"/>
      <c r="E111" s="7"/>
      <c r="F111" s="19"/>
      <c r="G111" s="19"/>
      <c r="H111" s="9"/>
      <c r="I111" s="9"/>
      <c r="J111" s="9"/>
      <c r="K111" s="9"/>
    </row>
    <row r="112" spans="1:22" x14ac:dyDescent="0.25">
      <c r="A112" s="13"/>
      <c r="B112" s="16"/>
      <c r="C112" s="18"/>
      <c r="D112" s="7"/>
      <c r="E112" s="7"/>
      <c r="F112" s="19"/>
      <c r="G112" s="19"/>
      <c r="H112" s="9"/>
      <c r="I112" s="9"/>
      <c r="J112" s="9"/>
      <c r="K112" s="9"/>
    </row>
    <row r="113" spans="1:11" x14ac:dyDescent="0.25">
      <c r="A113" s="13"/>
      <c r="B113" s="14"/>
      <c r="C113" s="18"/>
      <c r="D113" s="7"/>
      <c r="E113" s="7"/>
      <c r="F113" s="19"/>
      <c r="G113" s="19"/>
      <c r="H113" s="9"/>
      <c r="I113" s="9"/>
      <c r="J113" s="9"/>
      <c r="K113" s="9"/>
    </row>
    <row r="114" spans="1:11" x14ac:dyDescent="0.25">
      <c r="A114" s="13"/>
      <c r="B114" s="16"/>
      <c r="C114" s="18"/>
      <c r="D114" s="7"/>
      <c r="E114" s="7"/>
      <c r="F114" s="19"/>
      <c r="G114" s="19"/>
      <c r="H114" s="9"/>
      <c r="I114" s="9"/>
      <c r="J114" s="9"/>
      <c r="K114" s="9"/>
    </row>
    <row r="115" spans="1:11" x14ac:dyDescent="0.25">
      <c r="A115" s="13"/>
      <c r="B115" s="16"/>
      <c r="C115" s="18"/>
      <c r="D115" s="7"/>
      <c r="E115" s="7"/>
      <c r="F115" s="19"/>
      <c r="G115" s="19"/>
      <c r="H115" s="9"/>
      <c r="I115" s="9"/>
      <c r="J115" s="9"/>
      <c r="K115" s="9"/>
    </row>
    <row r="116" spans="1:11" x14ac:dyDescent="0.25">
      <c r="A116" s="13"/>
      <c r="B116" s="14"/>
      <c r="C116" s="18"/>
      <c r="D116" s="7"/>
      <c r="E116" s="7"/>
      <c r="F116" s="19"/>
      <c r="G116" s="19"/>
      <c r="H116" s="9"/>
      <c r="I116" s="9"/>
      <c r="J116" s="9"/>
      <c r="K116" s="9"/>
    </row>
    <row r="117" spans="1:11" x14ac:dyDescent="0.25">
      <c r="A117" s="13"/>
      <c r="B117" s="14"/>
      <c r="C117" s="18"/>
      <c r="D117" s="7"/>
      <c r="E117" s="7"/>
      <c r="F117" s="19"/>
      <c r="G117" s="19"/>
      <c r="H117" s="9"/>
      <c r="I117" s="9"/>
      <c r="J117" s="9"/>
      <c r="K117" s="9"/>
    </row>
    <row r="118" spans="1:11" x14ac:dyDescent="0.25">
      <c r="A118" s="13"/>
      <c r="B118" s="14"/>
      <c r="C118" s="18"/>
      <c r="D118" s="7"/>
      <c r="E118" s="7"/>
      <c r="F118" s="19"/>
      <c r="G118" s="19"/>
      <c r="H118" s="9"/>
      <c r="I118" s="9"/>
      <c r="J118" s="9"/>
      <c r="K118" s="9"/>
    </row>
    <row r="119" spans="1:11" x14ac:dyDescent="0.25">
      <c r="A119" s="13"/>
      <c r="B119" s="16"/>
      <c r="C119" s="18"/>
      <c r="D119" s="7"/>
      <c r="E119" s="7"/>
      <c r="F119" s="20"/>
      <c r="G119" s="20"/>
      <c r="H119" s="9"/>
      <c r="I119" s="9"/>
      <c r="J119" s="9"/>
      <c r="K119" s="9"/>
    </row>
    <row r="120" spans="1:11" x14ac:dyDescent="0.25">
      <c r="A120" s="13"/>
      <c r="B120" s="16"/>
      <c r="C120" s="18"/>
      <c r="D120" s="7"/>
      <c r="E120" s="7"/>
      <c r="F120" s="20"/>
      <c r="G120" s="20"/>
      <c r="H120" s="9"/>
      <c r="I120" s="9"/>
      <c r="J120" s="9"/>
      <c r="K120" s="9"/>
    </row>
    <row r="121" spans="1:11" x14ac:dyDescent="0.25">
      <c r="A121" s="13"/>
      <c r="B121" s="14"/>
      <c r="C121" s="18"/>
      <c r="D121" s="7"/>
      <c r="E121" s="7"/>
      <c r="F121" s="20"/>
      <c r="G121" s="20"/>
      <c r="H121" s="9"/>
      <c r="I121" s="9"/>
      <c r="J121" s="9"/>
      <c r="K121" s="9"/>
    </row>
    <row r="122" spans="1:11" x14ac:dyDescent="0.25">
      <c r="A122" s="13"/>
      <c r="B122" s="14"/>
      <c r="C122" s="18"/>
      <c r="D122" s="7"/>
      <c r="E122" s="7"/>
      <c r="F122" s="20"/>
      <c r="G122" s="20"/>
      <c r="H122" s="9"/>
      <c r="I122" s="9"/>
      <c r="J122" s="9"/>
      <c r="K122" s="9"/>
    </row>
    <row r="123" spans="1:11" x14ac:dyDescent="0.25">
      <c r="A123" s="13"/>
      <c r="B123" s="14"/>
      <c r="C123" s="18"/>
      <c r="D123" s="7"/>
      <c r="E123" s="7"/>
      <c r="F123" s="20"/>
      <c r="G123" s="20"/>
      <c r="H123" s="9"/>
      <c r="I123" s="9"/>
      <c r="J123" s="9"/>
      <c r="K123" s="9"/>
    </row>
    <row r="124" spans="1:11" x14ac:dyDescent="0.25">
      <c r="A124" s="13"/>
      <c r="B124" s="16"/>
      <c r="C124" s="18"/>
      <c r="D124" s="7"/>
      <c r="E124" s="7"/>
      <c r="F124" s="20"/>
      <c r="G124" s="20"/>
      <c r="H124" s="9"/>
      <c r="I124" s="9"/>
      <c r="J124" s="9"/>
      <c r="K124" s="9"/>
    </row>
    <row r="125" spans="1:11" x14ac:dyDescent="0.25">
      <c r="A125" s="13"/>
      <c r="B125" s="16"/>
      <c r="C125" s="18"/>
      <c r="D125" s="7"/>
      <c r="E125" s="7"/>
      <c r="F125" s="20"/>
      <c r="G125" s="20"/>
      <c r="H125" s="9"/>
      <c r="I125" s="9"/>
      <c r="J125" s="9"/>
      <c r="K125" s="9"/>
    </row>
    <row r="126" spans="1:11" x14ac:dyDescent="0.25">
      <c r="A126" s="13"/>
      <c r="B126" s="14"/>
      <c r="C126" s="18"/>
      <c r="D126" s="7"/>
      <c r="E126" s="7"/>
      <c r="F126" s="20"/>
      <c r="G126" s="20"/>
      <c r="H126" s="9"/>
      <c r="I126" s="9"/>
      <c r="J126" s="9"/>
      <c r="K126" s="9"/>
    </row>
    <row r="127" spans="1:11" x14ac:dyDescent="0.25">
      <c r="A127" s="13"/>
      <c r="B127" s="14"/>
      <c r="C127" s="18"/>
      <c r="D127" s="7"/>
      <c r="E127" s="7"/>
      <c r="F127" s="20"/>
      <c r="G127" s="20"/>
      <c r="H127" s="9"/>
      <c r="I127" s="9"/>
      <c r="J127" s="9"/>
      <c r="K127" s="9"/>
    </row>
    <row r="128" spans="1:11" x14ac:dyDescent="0.25">
      <c r="A128" s="13"/>
      <c r="B128" s="14"/>
      <c r="C128" s="18"/>
      <c r="D128" s="7"/>
      <c r="E128" s="7"/>
      <c r="F128" s="20"/>
      <c r="G128" s="20"/>
      <c r="H128" s="9"/>
      <c r="I128" s="9"/>
      <c r="J128" s="9"/>
      <c r="K128" s="9"/>
    </row>
    <row r="129" spans="1:11" x14ac:dyDescent="0.25">
      <c r="A129" s="13"/>
      <c r="B129" s="14"/>
      <c r="C129" s="18"/>
      <c r="D129" s="7"/>
      <c r="E129" s="7"/>
      <c r="F129" s="20"/>
      <c r="G129" s="20"/>
      <c r="H129" s="9"/>
      <c r="I129" s="9"/>
      <c r="J129" s="9"/>
      <c r="K129" s="9"/>
    </row>
    <row r="130" spans="1:11" x14ac:dyDescent="0.25">
      <c r="A130" s="13"/>
      <c r="B130" s="16"/>
      <c r="C130" s="18"/>
      <c r="D130" s="7"/>
      <c r="E130" s="7"/>
      <c r="F130" s="20"/>
      <c r="G130" s="20"/>
      <c r="H130" s="9"/>
      <c r="I130" s="9"/>
      <c r="J130" s="9"/>
      <c r="K130" s="9"/>
    </row>
    <row r="131" spans="1:11" x14ac:dyDescent="0.25">
      <c r="A131" s="13"/>
      <c r="B131" s="14"/>
      <c r="C131" s="18"/>
      <c r="D131" s="7"/>
      <c r="E131" s="7"/>
      <c r="F131" s="20"/>
      <c r="G131" s="20"/>
      <c r="H131" s="9"/>
      <c r="I131" s="9"/>
      <c r="J131" s="9"/>
      <c r="K131" s="9"/>
    </row>
    <row r="132" spans="1:11" x14ac:dyDescent="0.25">
      <c r="A132" s="13"/>
      <c r="B132" s="16"/>
      <c r="C132" s="18"/>
      <c r="D132" s="7"/>
      <c r="E132" s="7"/>
      <c r="F132" s="20"/>
      <c r="G132" s="20"/>
      <c r="H132" s="9"/>
      <c r="I132" s="9"/>
      <c r="J132" s="9"/>
      <c r="K132" s="9"/>
    </row>
    <row r="133" spans="1:11" x14ac:dyDescent="0.25">
      <c r="A133" s="13"/>
      <c r="B133" s="16"/>
      <c r="C133" s="18"/>
      <c r="D133" s="7"/>
      <c r="E133" s="7"/>
      <c r="F133" s="20"/>
      <c r="G133" s="20"/>
      <c r="H133" s="9"/>
      <c r="I133" s="9"/>
      <c r="J133" s="9"/>
      <c r="K133" s="9"/>
    </row>
    <row r="134" spans="1:11" x14ac:dyDescent="0.25">
      <c r="A134" s="13"/>
      <c r="B134" s="14"/>
      <c r="C134" s="18"/>
      <c r="D134" s="7"/>
      <c r="E134" s="7"/>
      <c r="F134" s="20"/>
      <c r="G134" s="20"/>
      <c r="H134" s="9"/>
      <c r="I134" s="9"/>
      <c r="J134" s="9"/>
      <c r="K134" s="9"/>
    </row>
    <row r="135" spans="1:11" x14ac:dyDescent="0.25">
      <c r="A135" s="13"/>
      <c r="B135" s="14"/>
      <c r="C135" s="18"/>
      <c r="D135" s="7"/>
      <c r="E135" s="7"/>
      <c r="F135" s="20"/>
      <c r="G135" s="20"/>
      <c r="H135" s="9"/>
      <c r="I135" s="9"/>
      <c r="J135" s="9"/>
      <c r="K135" s="9"/>
    </row>
    <row r="136" spans="1:11" x14ac:dyDescent="0.25">
      <c r="A136" s="13"/>
      <c r="B136" s="16"/>
      <c r="C136" s="18"/>
      <c r="D136" s="7"/>
      <c r="E136" s="7"/>
      <c r="F136" s="20"/>
      <c r="G136" s="20"/>
      <c r="H136" s="9"/>
      <c r="I136" s="9"/>
      <c r="J136" s="9"/>
      <c r="K136" s="9"/>
    </row>
    <row r="137" spans="1:11" x14ac:dyDescent="0.25">
      <c r="A137" s="13"/>
      <c r="B137" s="14"/>
      <c r="C137" s="18"/>
      <c r="D137" s="7"/>
      <c r="E137" s="7"/>
      <c r="F137" s="20"/>
      <c r="G137" s="20"/>
      <c r="H137" s="9"/>
      <c r="I137" s="9"/>
      <c r="J137" s="9"/>
      <c r="K137" s="9"/>
    </row>
    <row r="138" spans="1:11" x14ac:dyDescent="0.25">
      <c r="A138" s="13"/>
      <c r="B138" s="16"/>
      <c r="C138" s="18"/>
      <c r="D138" s="7"/>
      <c r="E138" s="7"/>
      <c r="F138" s="20"/>
      <c r="G138" s="20"/>
      <c r="H138" s="9"/>
      <c r="I138" s="9"/>
      <c r="J138" s="9"/>
      <c r="K138" s="9"/>
    </row>
    <row r="139" spans="1:11" x14ac:dyDescent="0.25">
      <c r="A139" s="13"/>
      <c r="B139" s="14"/>
      <c r="C139" s="18"/>
      <c r="D139" s="7"/>
      <c r="E139" s="7"/>
      <c r="F139" s="20"/>
      <c r="G139" s="20"/>
      <c r="H139" s="9"/>
      <c r="I139" s="9"/>
      <c r="J139" s="9"/>
      <c r="K139" s="9"/>
    </row>
    <row r="140" spans="1:11" x14ac:dyDescent="0.25">
      <c r="A140" s="13"/>
      <c r="B140" s="16"/>
      <c r="C140" s="18"/>
      <c r="D140" s="7"/>
      <c r="E140" s="7"/>
      <c r="F140" s="20"/>
      <c r="G140" s="20"/>
      <c r="H140" s="9"/>
      <c r="I140" s="9"/>
      <c r="J140" s="9"/>
      <c r="K140" s="9"/>
    </row>
    <row r="141" spans="1:11" x14ac:dyDescent="0.25">
      <c r="A141" s="13"/>
      <c r="B141" s="14"/>
      <c r="C141" s="18"/>
      <c r="D141" s="7"/>
      <c r="E141" s="7"/>
      <c r="F141" s="20"/>
      <c r="G141" s="20"/>
      <c r="H141" s="9"/>
      <c r="I141" s="9"/>
      <c r="J141" s="9"/>
      <c r="K141" s="9"/>
    </row>
    <row r="142" spans="1:11" x14ac:dyDescent="0.25">
      <c r="A142" s="13"/>
      <c r="B142" s="16"/>
      <c r="C142" s="18"/>
      <c r="D142" s="7"/>
      <c r="E142" s="7"/>
      <c r="F142" s="20"/>
      <c r="G142" s="20"/>
      <c r="H142" s="9"/>
      <c r="I142" s="9"/>
      <c r="J142" s="9"/>
      <c r="K142" s="9"/>
    </row>
    <row r="143" spans="1:11" x14ac:dyDescent="0.25">
      <c r="A143" s="13"/>
      <c r="B143" s="16"/>
      <c r="C143" s="18"/>
      <c r="D143" s="7"/>
      <c r="E143" s="7"/>
      <c r="F143" s="20"/>
      <c r="G143" s="20"/>
      <c r="H143" s="9"/>
      <c r="I143" s="9"/>
      <c r="J143" s="9"/>
      <c r="K143" s="9"/>
    </row>
    <row r="144" spans="1:11" x14ac:dyDescent="0.25">
      <c r="A144" s="13"/>
      <c r="B144" s="16"/>
      <c r="C144" s="18"/>
      <c r="D144" s="7"/>
      <c r="E144" s="7"/>
      <c r="F144" s="20"/>
      <c r="G144" s="20"/>
      <c r="H144" s="9"/>
      <c r="I144" s="9"/>
      <c r="J144" s="9"/>
      <c r="K144" s="9"/>
    </row>
    <row r="145" spans="1:11" x14ac:dyDescent="0.25">
      <c r="A145" s="13"/>
      <c r="B145" s="14"/>
      <c r="C145" s="18"/>
      <c r="D145" s="7"/>
      <c r="E145" s="7"/>
      <c r="F145" s="20"/>
      <c r="G145" s="20"/>
      <c r="H145" s="9"/>
      <c r="I145" s="9"/>
      <c r="J145" s="9"/>
      <c r="K145" s="9"/>
    </row>
    <row r="146" spans="1:11" x14ac:dyDescent="0.25">
      <c r="A146" s="13"/>
      <c r="B146" s="14"/>
      <c r="C146" s="18"/>
      <c r="D146" s="7"/>
      <c r="E146" s="7"/>
      <c r="F146" s="20"/>
      <c r="G146" s="20"/>
      <c r="H146" s="9"/>
      <c r="I146" s="9"/>
      <c r="J146" s="9"/>
      <c r="K146" s="9"/>
    </row>
    <row r="147" spans="1:11" x14ac:dyDescent="0.25">
      <c r="A147" s="13"/>
      <c r="B147" s="14"/>
      <c r="C147" s="18"/>
      <c r="D147" s="7"/>
      <c r="E147" s="7"/>
      <c r="F147" s="20"/>
      <c r="G147" s="20"/>
      <c r="H147" s="9"/>
      <c r="I147" s="9"/>
      <c r="J147" s="9"/>
      <c r="K147" s="9"/>
    </row>
    <row r="148" spans="1:11" x14ac:dyDescent="0.25">
      <c r="A148" s="13"/>
      <c r="B148" s="14"/>
      <c r="C148" s="18"/>
      <c r="D148" s="7"/>
      <c r="E148" s="7"/>
      <c r="F148" s="20"/>
      <c r="G148" s="20"/>
      <c r="H148" s="9"/>
      <c r="I148" s="9"/>
      <c r="J148" s="9"/>
      <c r="K148" s="9"/>
    </row>
    <row r="149" spans="1:11" x14ac:dyDescent="0.25">
      <c r="A149" s="13"/>
      <c r="B149" s="14"/>
      <c r="C149" s="18"/>
      <c r="D149" s="7"/>
      <c r="E149" s="7"/>
      <c r="F149" s="20"/>
      <c r="G149" s="20"/>
      <c r="H149" s="9"/>
      <c r="I149" s="9"/>
      <c r="J149" s="9"/>
      <c r="K149" s="9"/>
    </row>
    <row r="150" spans="1:11" x14ac:dyDescent="0.25">
      <c r="A150" s="13"/>
      <c r="B150" s="14"/>
      <c r="C150" s="18"/>
      <c r="D150" s="7"/>
      <c r="E150" s="7"/>
      <c r="F150" s="20"/>
      <c r="G150" s="20"/>
      <c r="H150" s="9"/>
      <c r="I150" s="9"/>
      <c r="J150" s="9"/>
      <c r="K150" s="9"/>
    </row>
    <row r="151" spans="1:11" x14ac:dyDescent="0.25">
      <c r="A151" s="13"/>
      <c r="B151" s="16"/>
      <c r="C151" s="18"/>
      <c r="D151" s="7"/>
      <c r="E151" s="7"/>
      <c r="F151" s="20"/>
      <c r="G151" s="20"/>
      <c r="H151" s="9"/>
      <c r="I151" s="9"/>
      <c r="J151" s="9"/>
      <c r="K151" s="9"/>
    </row>
    <row r="152" spans="1:11" x14ac:dyDescent="0.25">
      <c r="A152" s="13"/>
      <c r="B152" s="14"/>
      <c r="C152" s="18"/>
      <c r="D152" s="7"/>
      <c r="E152" s="7"/>
      <c r="F152" s="20"/>
      <c r="G152" s="20"/>
      <c r="H152" s="9"/>
      <c r="I152" s="9"/>
      <c r="J152" s="9"/>
      <c r="K152" s="9"/>
    </row>
    <row r="153" spans="1:11" x14ac:dyDescent="0.25">
      <c r="A153" s="13"/>
      <c r="B153" s="14"/>
      <c r="C153" s="18"/>
      <c r="D153" s="7"/>
      <c r="E153" s="7"/>
      <c r="F153" s="20"/>
      <c r="G153" s="20"/>
      <c r="H153" s="9"/>
      <c r="I153" s="9"/>
      <c r="J153" s="9"/>
      <c r="K153" s="9"/>
    </row>
    <row r="154" spans="1:11" x14ac:dyDescent="0.25">
      <c r="A154" s="13"/>
      <c r="B154" s="14"/>
      <c r="C154" s="18"/>
      <c r="D154" s="7"/>
      <c r="E154" s="7"/>
      <c r="F154" s="20"/>
      <c r="G154" s="20"/>
      <c r="H154" s="9"/>
      <c r="I154" s="9"/>
      <c r="J154" s="9"/>
      <c r="K154" s="9"/>
    </row>
    <row r="155" spans="1:11" x14ac:dyDescent="0.25">
      <c r="A155" s="13"/>
      <c r="B155" s="16"/>
      <c r="C155" s="18"/>
      <c r="D155" s="7"/>
      <c r="E155" s="7"/>
      <c r="F155" s="20"/>
      <c r="G155" s="20"/>
      <c r="H155" s="9"/>
      <c r="I155" s="9"/>
      <c r="J155" s="9"/>
      <c r="K155" s="9"/>
    </row>
    <row r="156" spans="1:11" x14ac:dyDescent="0.25">
      <c r="A156" s="13"/>
      <c r="B156" s="14"/>
      <c r="C156" s="18"/>
      <c r="D156" s="7"/>
      <c r="E156" s="7"/>
      <c r="F156" s="20"/>
      <c r="G156" s="20"/>
      <c r="H156" s="9"/>
      <c r="I156" s="9"/>
      <c r="J156" s="9"/>
      <c r="K156" s="9"/>
    </row>
    <row r="157" spans="1:11" x14ac:dyDescent="0.25">
      <c r="A157" s="13"/>
      <c r="B157" s="14"/>
      <c r="C157" s="18"/>
      <c r="D157" s="7"/>
      <c r="E157" s="7"/>
      <c r="F157" s="20"/>
      <c r="G157" s="20"/>
      <c r="H157" s="9"/>
      <c r="I157" s="9"/>
      <c r="J157" s="9"/>
      <c r="K157" s="9"/>
    </row>
    <row r="158" spans="1:11" x14ac:dyDescent="0.25">
      <c r="A158" s="13"/>
      <c r="B158" s="16"/>
      <c r="C158" s="18"/>
      <c r="D158" s="7"/>
      <c r="E158" s="7"/>
      <c r="F158" s="20"/>
      <c r="G158" s="20"/>
      <c r="H158" s="9"/>
      <c r="I158" s="9"/>
      <c r="J158" s="9"/>
      <c r="K158" s="9"/>
    </row>
    <row r="159" spans="1:11" x14ac:dyDescent="0.25">
      <c r="A159" s="13"/>
      <c r="B159" s="14"/>
      <c r="C159" s="18"/>
      <c r="D159" s="7"/>
      <c r="E159" s="7"/>
      <c r="F159" s="20"/>
      <c r="G159" s="20"/>
      <c r="H159" s="9"/>
      <c r="I159" s="9"/>
      <c r="J159" s="9"/>
      <c r="K159" s="9"/>
    </row>
    <row r="160" spans="1:11" x14ac:dyDescent="0.25">
      <c r="A160" s="13"/>
      <c r="B160" s="14"/>
      <c r="C160" s="18"/>
      <c r="D160" s="7"/>
      <c r="E160" s="7"/>
      <c r="F160" s="20"/>
      <c r="G160" s="20"/>
      <c r="H160" s="9"/>
      <c r="I160" s="9"/>
      <c r="J160" s="9"/>
      <c r="K160" s="9"/>
    </row>
    <row r="161" spans="1:11" x14ac:dyDescent="0.25">
      <c r="A161" s="13"/>
      <c r="B161" s="14"/>
      <c r="C161" s="18"/>
      <c r="D161" s="7"/>
      <c r="E161" s="7"/>
      <c r="F161" s="20"/>
      <c r="G161" s="20"/>
      <c r="H161" s="9"/>
      <c r="I161" s="9"/>
      <c r="J161" s="9"/>
      <c r="K161" s="9"/>
    </row>
    <row r="162" spans="1:11" x14ac:dyDescent="0.25">
      <c r="A162" s="13"/>
      <c r="B162" s="16"/>
      <c r="C162" s="18"/>
      <c r="D162" s="7"/>
      <c r="E162" s="7"/>
      <c r="F162" s="20"/>
      <c r="G162" s="20"/>
      <c r="H162" s="9"/>
      <c r="I162" s="9"/>
      <c r="J162" s="9"/>
      <c r="K162" s="9"/>
    </row>
    <row r="163" spans="1:11" x14ac:dyDescent="0.25">
      <c r="A163" s="13"/>
      <c r="B163" s="14"/>
      <c r="C163" s="18"/>
      <c r="D163" s="7"/>
      <c r="E163" s="7"/>
      <c r="F163" s="20"/>
      <c r="G163" s="20"/>
      <c r="H163" s="9"/>
      <c r="I163" s="9"/>
      <c r="J163" s="9"/>
      <c r="K163" s="9"/>
    </row>
    <row r="164" spans="1:11" x14ac:dyDescent="0.25">
      <c r="A164" s="13"/>
      <c r="B164" s="16"/>
      <c r="C164" s="18"/>
      <c r="D164" s="7"/>
      <c r="E164" s="7"/>
      <c r="F164" s="20"/>
      <c r="G164" s="20"/>
      <c r="H164" s="9"/>
      <c r="I164" s="9"/>
      <c r="J164" s="9"/>
      <c r="K164" s="9"/>
    </row>
    <row r="165" spans="1:11" x14ac:dyDescent="0.25">
      <c r="A165" s="13"/>
      <c r="B165" s="14"/>
      <c r="C165" s="18"/>
      <c r="D165" s="7"/>
      <c r="E165" s="7"/>
      <c r="F165" s="20"/>
      <c r="G165" s="20"/>
      <c r="H165" s="9"/>
      <c r="I165" s="9"/>
      <c r="J165" s="9"/>
      <c r="K165" s="9"/>
    </row>
    <row r="166" spans="1:11" x14ac:dyDescent="0.25">
      <c r="A166" s="13"/>
      <c r="B166" s="14"/>
      <c r="C166" s="18"/>
      <c r="D166" s="7"/>
      <c r="E166" s="7"/>
      <c r="F166" s="20"/>
      <c r="G166" s="20"/>
      <c r="H166" s="9"/>
      <c r="I166" s="9"/>
      <c r="J166" s="9"/>
      <c r="K166" s="9"/>
    </row>
    <row r="167" spans="1:11" x14ac:dyDescent="0.25">
      <c r="A167" s="13"/>
      <c r="B167" s="16"/>
      <c r="C167" s="18"/>
      <c r="D167" s="7"/>
      <c r="E167" s="7"/>
      <c r="F167" s="20"/>
      <c r="G167" s="20"/>
      <c r="H167" s="9"/>
      <c r="I167" s="9"/>
      <c r="J167" s="9"/>
      <c r="K167" s="9"/>
    </row>
    <row r="168" spans="1:11" x14ac:dyDescent="0.25">
      <c r="A168" s="13"/>
      <c r="B168" s="14"/>
      <c r="C168" s="18"/>
      <c r="D168" s="7"/>
      <c r="E168" s="7"/>
      <c r="F168" s="20"/>
      <c r="G168" s="20"/>
      <c r="H168" s="9"/>
      <c r="I168" s="9"/>
      <c r="J168" s="9"/>
      <c r="K168" s="9"/>
    </row>
    <row r="169" spans="1:11" x14ac:dyDescent="0.25">
      <c r="A169" s="13"/>
      <c r="B169" s="16"/>
      <c r="C169" s="18"/>
      <c r="D169" s="7"/>
      <c r="E169" s="7"/>
      <c r="F169" s="20"/>
      <c r="G169" s="20"/>
      <c r="H169" s="9"/>
      <c r="I169" s="9"/>
      <c r="J169" s="9"/>
      <c r="K169" s="9"/>
    </row>
    <row r="170" spans="1:11" x14ac:dyDescent="0.25">
      <c r="A170" s="13"/>
      <c r="B170" s="14"/>
      <c r="C170" s="18"/>
      <c r="D170" s="7"/>
      <c r="E170" s="7"/>
      <c r="F170" s="20"/>
      <c r="G170" s="20"/>
      <c r="H170" s="9"/>
      <c r="I170" s="9"/>
      <c r="J170" s="9"/>
      <c r="K170" s="9"/>
    </row>
    <row r="171" spans="1:11" x14ac:dyDescent="0.25">
      <c r="A171" s="13"/>
      <c r="B171" s="16"/>
      <c r="C171" s="18"/>
      <c r="D171" s="7"/>
      <c r="E171" s="7"/>
      <c r="F171" s="21"/>
      <c r="G171" s="22"/>
      <c r="H171" s="9"/>
      <c r="I171" s="9"/>
      <c r="J171" s="9"/>
      <c r="K171" s="9"/>
    </row>
    <row r="172" spans="1:11" x14ac:dyDescent="0.25">
      <c r="A172" s="13"/>
      <c r="B172" s="14"/>
      <c r="C172" s="18"/>
      <c r="D172" s="7"/>
      <c r="E172" s="7"/>
      <c r="F172" s="21"/>
      <c r="G172" s="22"/>
      <c r="H172" s="9"/>
      <c r="I172" s="9"/>
      <c r="J172" s="9"/>
      <c r="K172" s="9"/>
    </row>
    <row r="173" spans="1:11" x14ac:dyDescent="0.25">
      <c r="A173" s="13"/>
      <c r="B173" s="14"/>
      <c r="C173" s="18"/>
      <c r="D173" s="7"/>
      <c r="E173" s="7"/>
      <c r="F173" s="21"/>
      <c r="G173" s="22"/>
      <c r="H173" s="9"/>
      <c r="I173" s="9"/>
      <c r="J173" s="9"/>
      <c r="K173" s="9"/>
    </row>
    <row r="174" spans="1:11" x14ac:dyDescent="0.25">
      <c r="A174" s="13"/>
      <c r="B174" s="14"/>
      <c r="C174" s="18"/>
      <c r="D174" s="7"/>
      <c r="E174" s="7"/>
      <c r="F174" s="21"/>
      <c r="G174" s="22"/>
      <c r="H174" s="9"/>
      <c r="I174" s="9"/>
      <c r="J174" s="9"/>
      <c r="K174" s="9"/>
    </row>
    <row r="175" spans="1:11" x14ac:dyDescent="0.25">
      <c r="A175" s="13"/>
      <c r="B175" s="16"/>
      <c r="C175" s="18"/>
      <c r="D175" s="7"/>
      <c r="E175" s="7"/>
      <c r="F175" s="21"/>
      <c r="G175" s="22"/>
      <c r="H175" s="9"/>
      <c r="I175" s="9"/>
      <c r="J175" s="9"/>
      <c r="K175" s="9"/>
    </row>
    <row r="176" spans="1:11" x14ac:dyDescent="0.25">
      <c r="A176" s="13"/>
      <c r="B176" s="16"/>
      <c r="C176" s="18"/>
      <c r="D176" s="7"/>
      <c r="E176" s="7"/>
      <c r="F176" s="21"/>
      <c r="G176" s="22"/>
      <c r="H176" s="9"/>
      <c r="I176" s="9"/>
      <c r="J176" s="9"/>
      <c r="K176" s="9"/>
    </row>
    <row r="177" spans="1:11" x14ac:dyDescent="0.25">
      <c r="A177" s="13"/>
      <c r="B177" s="14"/>
      <c r="C177" s="18"/>
      <c r="D177" s="7"/>
      <c r="E177" s="7"/>
      <c r="F177" s="21"/>
      <c r="G177" s="22"/>
      <c r="H177" s="9"/>
      <c r="I177" s="9"/>
      <c r="J177" s="9"/>
      <c r="K177" s="9"/>
    </row>
    <row r="178" spans="1:11" x14ac:dyDescent="0.25">
      <c r="A178" s="13"/>
      <c r="B178" s="16"/>
      <c r="C178" s="18"/>
      <c r="D178" s="7"/>
      <c r="E178" s="7"/>
      <c r="F178" s="21"/>
      <c r="G178" s="22"/>
      <c r="H178" s="9"/>
      <c r="I178" s="9"/>
      <c r="J178" s="9"/>
      <c r="K178" s="9"/>
    </row>
    <row r="179" spans="1:11" x14ac:dyDescent="0.25">
      <c r="A179" s="13"/>
      <c r="B179" s="14"/>
      <c r="C179" s="18"/>
      <c r="D179" s="7"/>
      <c r="E179" s="7"/>
      <c r="F179" s="21"/>
      <c r="G179" s="22"/>
      <c r="H179" s="9"/>
      <c r="I179" s="9"/>
      <c r="J179" s="9"/>
      <c r="K179" s="9"/>
    </row>
    <row r="180" spans="1:11" x14ac:dyDescent="0.25">
      <c r="A180" s="13"/>
      <c r="B180" s="14"/>
      <c r="C180" s="18"/>
      <c r="D180" s="7"/>
      <c r="E180" s="7"/>
      <c r="F180" s="21"/>
      <c r="G180" s="22"/>
      <c r="H180" s="9"/>
      <c r="I180" s="9"/>
      <c r="J180" s="9"/>
      <c r="K180" s="9"/>
    </row>
    <row r="181" spans="1:11" x14ac:dyDescent="0.25">
      <c r="A181" s="13"/>
      <c r="B181" s="14"/>
      <c r="C181" s="18"/>
      <c r="D181" s="7"/>
      <c r="E181" s="7"/>
      <c r="F181" s="21"/>
      <c r="G181" s="22"/>
      <c r="H181" s="9"/>
      <c r="I181" s="9"/>
      <c r="J181" s="9"/>
      <c r="K181" s="9"/>
    </row>
    <row r="182" spans="1:11" x14ac:dyDescent="0.25">
      <c r="A182" s="13"/>
      <c r="B182" s="14"/>
      <c r="C182" s="18"/>
      <c r="D182" s="7"/>
      <c r="E182" s="7"/>
      <c r="F182" s="21"/>
      <c r="G182" s="22"/>
      <c r="H182" s="9"/>
      <c r="I182" s="9"/>
      <c r="J182" s="9"/>
      <c r="K182" s="9"/>
    </row>
    <row r="183" spans="1:11" x14ac:dyDescent="0.25">
      <c r="A183" s="13"/>
      <c r="B183" s="16"/>
      <c r="C183" s="18"/>
      <c r="D183" s="7"/>
      <c r="E183" s="7"/>
      <c r="F183" s="21"/>
      <c r="G183" s="22"/>
      <c r="H183" s="9"/>
      <c r="I183" s="9"/>
      <c r="J183" s="9"/>
      <c r="K183" s="9"/>
    </row>
    <row r="184" spans="1:11" x14ac:dyDescent="0.25">
      <c r="A184" s="13"/>
      <c r="B184" s="14"/>
      <c r="C184" s="18"/>
      <c r="D184" s="7"/>
      <c r="E184" s="7"/>
      <c r="F184" s="21"/>
      <c r="G184" s="22"/>
      <c r="H184" s="9"/>
      <c r="I184" s="9"/>
      <c r="J184" s="9"/>
      <c r="K184" s="9"/>
    </row>
    <row r="185" spans="1:11" x14ac:dyDescent="0.25">
      <c r="A185" s="13"/>
      <c r="B185" s="14"/>
      <c r="C185" s="18"/>
      <c r="D185" s="7"/>
      <c r="E185" s="7"/>
      <c r="F185" s="21"/>
      <c r="G185" s="22"/>
      <c r="H185" s="9"/>
      <c r="I185" s="9"/>
      <c r="J185" s="9"/>
      <c r="K185" s="9"/>
    </row>
    <row r="186" spans="1:11" x14ac:dyDescent="0.25">
      <c r="A186" s="13"/>
      <c r="B186" s="16"/>
      <c r="C186" s="18"/>
      <c r="D186" s="7"/>
      <c r="E186" s="7"/>
      <c r="F186" s="21"/>
      <c r="G186" s="22"/>
      <c r="H186" s="9"/>
      <c r="I186" s="9"/>
      <c r="J186" s="9"/>
      <c r="K186" s="9"/>
    </row>
    <row r="187" spans="1:11" x14ac:dyDescent="0.25">
      <c r="A187" s="13"/>
      <c r="B187" s="16"/>
      <c r="C187" s="18"/>
      <c r="D187" s="7"/>
      <c r="E187" s="7"/>
      <c r="F187" s="21"/>
      <c r="G187" s="22"/>
      <c r="H187" s="9"/>
      <c r="I187" s="9"/>
      <c r="J187" s="9"/>
      <c r="K187" s="9"/>
    </row>
    <row r="188" spans="1:11" x14ac:dyDescent="0.25">
      <c r="A188" s="13"/>
      <c r="B188" s="16"/>
      <c r="C188" s="18"/>
      <c r="D188" s="7"/>
      <c r="E188" s="7"/>
      <c r="F188" s="21"/>
      <c r="G188" s="22"/>
      <c r="H188" s="9"/>
      <c r="I188" s="9"/>
      <c r="J188" s="9"/>
      <c r="K188" s="9"/>
    </row>
    <row r="189" spans="1:11" x14ac:dyDescent="0.25">
      <c r="A189" s="13"/>
      <c r="B189" s="14"/>
      <c r="C189" s="18"/>
      <c r="D189" s="7"/>
      <c r="E189" s="7"/>
      <c r="F189" s="21"/>
      <c r="G189" s="22"/>
      <c r="H189" s="9"/>
      <c r="I189" s="9"/>
      <c r="J189" s="9"/>
      <c r="K189" s="9"/>
    </row>
    <row r="190" spans="1:11" x14ac:dyDescent="0.25">
      <c r="A190" s="13"/>
      <c r="B190" s="14"/>
      <c r="C190" s="18"/>
      <c r="D190" s="7"/>
      <c r="E190" s="7"/>
      <c r="F190" s="21"/>
      <c r="G190" s="22"/>
      <c r="H190" s="9"/>
      <c r="I190" s="9"/>
      <c r="J190" s="9"/>
      <c r="K190" s="9"/>
    </row>
    <row r="191" spans="1:11" x14ac:dyDescent="0.25">
      <c r="A191" s="13"/>
      <c r="B191" s="16"/>
      <c r="C191" s="18"/>
      <c r="D191" s="7"/>
      <c r="E191" s="7"/>
      <c r="F191" s="21"/>
      <c r="G191" s="22"/>
      <c r="H191" s="9"/>
      <c r="I191" s="9"/>
      <c r="J191" s="9"/>
      <c r="K191" s="9"/>
    </row>
    <row r="192" spans="1:11" x14ac:dyDescent="0.25">
      <c r="A192" s="13"/>
      <c r="B192" s="14"/>
      <c r="C192" s="18"/>
      <c r="D192" s="7"/>
      <c r="E192" s="7"/>
      <c r="F192" s="21"/>
      <c r="G192" s="22"/>
      <c r="H192" s="9"/>
      <c r="I192" s="9"/>
      <c r="J192" s="9"/>
      <c r="K192" s="9"/>
    </row>
    <row r="193" spans="1:11" x14ac:dyDescent="0.25">
      <c r="A193" s="13"/>
      <c r="B193" s="14"/>
      <c r="C193" s="18"/>
      <c r="D193" s="7"/>
      <c r="E193" s="7"/>
      <c r="F193" s="21"/>
      <c r="G193" s="22"/>
      <c r="H193" s="9"/>
      <c r="I193" s="9"/>
      <c r="J193" s="9"/>
      <c r="K193" s="9"/>
    </row>
    <row r="194" spans="1:11" x14ac:dyDescent="0.25">
      <c r="A194" s="13"/>
      <c r="B194" s="14"/>
      <c r="C194" s="18"/>
      <c r="D194" s="7"/>
      <c r="E194" s="7"/>
      <c r="F194" s="21"/>
      <c r="G194" s="22"/>
      <c r="H194" s="9"/>
      <c r="I194" s="9"/>
      <c r="J194" s="9"/>
      <c r="K194" s="9"/>
    </row>
    <row r="195" spans="1:11" x14ac:dyDescent="0.25">
      <c r="A195" s="13"/>
      <c r="B195" s="14"/>
      <c r="C195" s="18"/>
      <c r="D195" s="7"/>
      <c r="E195" s="7"/>
      <c r="F195" s="21"/>
      <c r="G195" s="22"/>
      <c r="H195" s="9"/>
      <c r="I195" s="9"/>
      <c r="J195" s="9"/>
      <c r="K195" s="9"/>
    </row>
    <row r="196" spans="1:11" x14ac:dyDescent="0.25">
      <c r="A196" s="13"/>
      <c r="B196" s="16"/>
      <c r="C196" s="18"/>
      <c r="D196" s="7"/>
      <c r="E196" s="7"/>
      <c r="F196" s="21"/>
      <c r="G196" s="22"/>
      <c r="H196" s="9"/>
      <c r="I196" s="9"/>
      <c r="J196" s="9"/>
      <c r="K196" s="9"/>
    </row>
    <row r="197" spans="1:11" x14ac:dyDescent="0.25">
      <c r="A197" s="13"/>
      <c r="B197" s="14"/>
      <c r="C197" s="18"/>
      <c r="D197" s="7"/>
      <c r="E197" s="7"/>
      <c r="F197" s="21"/>
      <c r="G197" s="22"/>
      <c r="H197" s="9"/>
      <c r="I197" s="9"/>
      <c r="J197" s="9"/>
      <c r="K197" s="9"/>
    </row>
    <row r="198" spans="1:11" x14ac:dyDescent="0.25">
      <c r="A198" s="13"/>
      <c r="B198" s="16"/>
      <c r="C198" s="18"/>
      <c r="D198" s="7"/>
      <c r="E198" s="7"/>
      <c r="F198" s="21"/>
      <c r="G198" s="22"/>
      <c r="H198" s="9"/>
      <c r="I198" s="9"/>
      <c r="J198" s="9"/>
      <c r="K198" s="9"/>
    </row>
    <row r="199" spans="1:11" x14ac:dyDescent="0.25">
      <c r="A199" s="13"/>
      <c r="B199" s="14"/>
      <c r="C199" s="18"/>
      <c r="D199" s="7"/>
      <c r="E199" s="7"/>
      <c r="F199" s="21"/>
      <c r="G199" s="22"/>
      <c r="H199" s="9"/>
      <c r="I199" s="9"/>
      <c r="J199" s="9"/>
      <c r="K199" s="9"/>
    </row>
    <row r="200" spans="1:11" x14ac:dyDescent="0.25">
      <c r="A200" s="13"/>
      <c r="B200" s="16"/>
      <c r="C200" s="18"/>
      <c r="D200" s="7"/>
      <c r="E200" s="7"/>
      <c r="F200" s="21"/>
      <c r="G200" s="22"/>
      <c r="H200" s="9"/>
      <c r="I200" s="9"/>
      <c r="J200" s="9"/>
      <c r="K200" s="9"/>
    </row>
    <row r="201" spans="1:11" x14ac:dyDescent="0.25">
      <c r="A201" s="13"/>
      <c r="B201" s="16"/>
      <c r="C201" s="18"/>
      <c r="D201" s="7"/>
      <c r="E201" s="7"/>
      <c r="F201" s="21"/>
      <c r="G201" s="22"/>
      <c r="H201" s="9"/>
      <c r="I201" s="9"/>
      <c r="J201" s="9"/>
      <c r="K201" s="9"/>
    </row>
    <row r="202" spans="1:11" x14ac:dyDescent="0.25">
      <c r="A202" s="13"/>
      <c r="B202" s="14"/>
      <c r="C202" s="18"/>
      <c r="D202" s="7"/>
      <c r="E202" s="7"/>
      <c r="F202" s="21"/>
      <c r="G202" s="22"/>
      <c r="H202" s="9"/>
      <c r="I202" s="9"/>
      <c r="J202" s="9"/>
      <c r="K202" s="9"/>
    </row>
    <row r="203" spans="1:11" x14ac:dyDescent="0.25">
      <c r="A203" s="13"/>
      <c r="B203" s="16"/>
      <c r="C203" s="18"/>
      <c r="D203" s="7"/>
      <c r="E203" s="7"/>
      <c r="F203" s="21"/>
      <c r="G203" s="22"/>
      <c r="H203" s="9"/>
      <c r="I203" s="9"/>
      <c r="J203" s="9"/>
      <c r="K203" s="9"/>
    </row>
    <row r="204" spans="1:11" x14ac:dyDescent="0.25">
      <c r="A204" s="13"/>
      <c r="B204" s="16"/>
      <c r="C204" s="18"/>
      <c r="D204" s="7"/>
      <c r="E204" s="7"/>
      <c r="F204" s="21"/>
      <c r="G204" s="22"/>
      <c r="H204" s="9"/>
      <c r="I204" s="9"/>
      <c r="J204" s="9"/>
      <c r="K204" s="9"/>
    </row>
    <row r="205" spans="1:11" x14ac:dyDescent="0.25">
      <c r="A205" s="13"/>
      <c r="B205" s="14"/>
      <c r="C205" s="18"/>
      <c r="D205" s="7"/>
      <c r="E205" s="7"/>
      <c r="F205" s="21"/>
      <c r="G205" s="22"/>
      <c r="H205" s="9"/>
      <c r="I205" s="9"/>
      <c r="J205" s="9"/>
      <c r="K205" s="9"/>
    </row>
    <row r="206" spans="1:11" x14ac:dyDescent="0.25">
      <c r="A206" s="13"/>
      <c r="B206" s="16"/>
      <c r="C206" s="18"/>
      <c r="D206" s="7"/>
      <c r="E206" s="7"/>
      <c r="F206" s="21"/>
      <c r="G206" s="22"/>
      <c r="H206" s="9"/>
      <c r="I206" s="9"/>
      <c r="J206" s="9"/>
      <c r="K206" s="9"/>
    </row>
    <row r="207" spans="1:11" x14ac:dyDescent="0.25">
      <c r="A207" s="13"/>
      <c r="B207" s="14"/>
      <c r="C207" s="18"/>
      <c r="D207" s="7"/>
      <c r="E207" s="7"/>
      <c r="F207" s="21"/>
      <c r="G207" s="22"/>
      <c r="H207" s="9"/>
      <c r="I207" s="9"/>
      <c r="J207" s="9"/>
      <c r="K207" s="9"/>
    </row>
    <row r="208" spans="1:11" x14ac:dyDescent="0.25">
      <c r="A208" s="13"/>
      <c r="B208" s="14"/>
      <c r="C208" s="18"/>
      <c r="D208" s="7"/>
      <c r="E208" s="7"/>
      <c r="F208" s="21"/>
      <c r="G208" s="22"/>
      <c r="H208" s="9"/>
      <c r="I208" s="9"/>
      <c r="J208" s="9"/>
      <c r="K208" s="9"/>
    </row>
    <row r="209" spans="1:11" x14ac:dyDescent="0.25">
      <c r="A209" s="13"/>
      <c r="B209" s="16"/>
      <c r="C209" s="18"/>
      <c r="D209" s="7"/>
      <c r="E209" s="7"/>
      <c r="F209" s="21"/>
      <c r="G209" s="22"/>
      <c r="H209" s="9"/>
      <c r="I209" s="9"/>
      <c r="J209" s="9"/>
      <c r="K209" s="9"/>
    </row>
    <row r="210" spans="1:11" x14ac:dyDescent="0.25">
      <c r="A210" s="13"/>
      <c r="B210" s="16"/>
      <c r="C210" s="18"/>
      <c r="D210" s="7"/>
      <c r="E210" s="7"/>
      <c r="F210" s="21"/>
      <c r="G210" s="22"/>
      <c r="H210" s="9"/>
      <c r="I210" s="9"/>
      <c r="J210" s="9"/>
      <c r="K210" s="9"/>
    </row>
    <row r="211" spans="1:11" x14ac:dyDescent="0.25">
      <c r="A211" s="13"/>
      <c r="B211" s="16"/>
      <c r="C211" s="18"/>
      <c r="D211" s="7"/>
      <c r="E211" s="7"/>
      <c r="F211" s="21"/>
      <c r="G211" s="22"/>
      <c r="H211" s="9"/>
      <c r="I211" s="9"/>
      <c r="J211" s="9"/>
      <c r="K211" s="9"/>
    </row>
    <row r="212" spans="1:11" x14ac:dyDescent="0.25">
      <c r="A212" s="13"/>
      <c r="B212" s="16"/>
      <c r="C212" s="18"/>
      <c r="D212" s="7"/>
      <c r="E212" s="7"/>
      <c r="F212" s="21"/>
      <c r="G212" s="22"/>
      <c r="H212" s="9"/>
      <c r="I212" s="9"/>
      <c r="J212" s="9"/>
      <c r="K212" s="9"/>
    </row>
    <row r="213" spans="1:11" x14ac:dyDescent="0.25">
      <c r="A213" s="13"/>
      <c r="B213" s="16"/>
      <c r="C213" s="18"/>
      <c r="D213" s="7"/>
      <c r="E213" s="7"/>
      <c r="F213" s="21"/>
      <c r="G213" s="22"/>
      <c r="H213" s="9"/>
      <c r="I213" s="9"/>
      <c r="J213" s="9"/>
      <c r="K213" s="9"/>
    </row>
    <row r="214" spans="1:11" x14ac:dyDescent="0.25">
      <c r="A214" s="13"/>
      <c r="B214" s="14"/>
      <c r="C214" s="18"/>
      <c r="D214" s="7"/>
      <c r="E214" s="7"/>
      <c r="F214" s="21"/>
      <c r="G214" s="22"/>
      <c r="H214" s="9"/>
      <c r="I214" s="9"/>
      <c r="J214" s="9"/>
      <c r="K214" s="9"/>
    </row>
    <row r="215" spans="1:11" x14ac:dyDescent="0.25">
      <c r="A215" s="13"/>
      <c r="B215" s="14"/>
      <c r="C215" s="18"/>
      <c r="D215" s="7"/>
      <c r="E215" s="7"/>
      <c r="F215" s="21"/>
      <c r="G215" s="22"/>
      <c r="H215" s="9"/>
      <c r="I215" s="9"/>
      <c r="J215" s="9"/>
      <c r="K215" s="9"/>
    </row>
    <row r="216" spans="1:11" x14ac:dyDescent="0.25">
      <c r="A216" s="13"/>
      <c r="B216" s="16"/>
      <c r="C216" s="18"/>
      <c r="D216" s="7"/>
      <c r="E216" s="7"/>
      <c r="F216" s="21"/>
      <c r="G216" s="22"/>
      <c r="H216" s="9"/>
      <c r="I216" s="9"/>
      <c r="J216" s="9"/>
      <c r="K216" s="9"/>
    </row>
    <row r="217" spans="1:11" x14ac:dyDescent="0.25">
      <c r="A217" s="13"/>
      <c r="B217" s="16"/>
      <c r="C217" s="18"/>
      <c r="D217" s="7"/>
      <c r="E217" s="7"/>
      <c r="F217" s="21"/>
      <c r="G217" s="22"/>
      <c r="H217" s="9"/>
      <c r="I217" s="9"/>
      <c r="J217" s="9"/>
      <c r="K217" s="9"/>
    </row>
    <row r="218" spans="1:11" x14ac:dyDescent="0.25">
      <c r="A218" s="13"/>
      <c r="B218" s="14"/>
      <c r="C218" s="18"/>
      <c r="D218" s="7"/>
      <c r="E218" s="7"/>
      <c r="F218" s="21"/>
      <c r="G218" s="22"/>
      <c r="H218" s="9"/>
      <c r="I218" s="9"/>
      <c r="J218" s="9"/>
      <c r="K218" s="9"/>
    </row>
    <row r="219" spans="1:11" x14ac:dyDescent="0.25">
      <c r="A219" s="13"/>
      <c r="B219" s="16"/>
      <c r="C219" s="18"/>
      <c r="D219" s="7"/>
      <c r="E219" s="7"/>
      <c r="F219" s="21"/>
      <c r="G219" s="22"/>
      <c r="H219" s="9"/>
      <c r="I219" s="9"/>
      <c r="J219" s="9"/>
      <c r="K219" s="9"/>
    </row>
    <row r="220" spans="1:11" x14ac:dyDescent="0.25">
      <c r="A220" s="13"/>
      <c r="B220" s="16"/>
      <c r="C220" s="18"/>
      <c r="D220" s="7"/>
      <c r="E220" s="7"/>
      <c r="F220" s="21"/>
      <c r="G220" s="22"/>
      <c r="H220" s="9"/>
      <c r="I220" s="9"/>
      <c r="J220" s="9"/>
      <c r="K220" s="9"/>
    </row>
    <row r="221" spans="1:11" x14ac:dyDescent="0.25">
      <c r="A221" s="13"/>
      <c r="B221" s="16"/>
      <c r="C221" s="18"/>
      <c r="D221" s="7"/>
      <c r="E221" s="7"/>
      <c r="F221" s="21"/>
      <c r="G221" s="22"/>
      <c r="H221" s="9"/>
      <c r="I221" s="9"/>
      <c r="J221" s="9"/>
      <c r="K221" s="9"/>
    </row>
    <row r="222" spans="1:11" x14ac:dyDescent="0.25">
      <c r="A222" s="13"/>
      <c r="B222" s="16"/>
      <c r="C222" s="18"/>
      <c r="D222" s="7"/>
      <c r="E222" s="7"/>
      <c r="F222" s="21"/>
      <c r="G222" s="22"/>
      <c r="H222" s="9"/>
      <c r="I222" s="9"/>
      <c r="J222" s="9"/>
      <c r="K222" s="9"/>
    </row>
    <row r="223" spans="1:11" x14ac:dyDescent="0.25">
      <c r="A223" s="13"/>
      <c r="B223" s="16"/>
      <c r="C223" s="18"/>
      <c r="D223" s="7"/>
      <c r="E223" s="7"/>
      <c r="F223" s="21"/>
      <c r="G223" s="22"/>
      <c r="H223" s="9"/>
      <c r="I223" s="9"/>
      <c r="J223" s="9"/>
      <c r="K223" s="9"/>
    </row>
    <row r="224" spans="1:11" x14ac:dyDescent="0.25">
      <c r="A224" s="13"/>
      <c r="B224" s="14"/>
      <c r="C224" s="18"/>
      <c r="D224" s="7"/>
      <c r="E224" s="7"/>
      <c r="F224" s="21"/>
      <c r="G224" s="22"/>
      <c r="H224" s="9"/>
      <c r="I224" s="9"/>
      <c r="J224" s="9"/>
      <c r="K224" s="9"/>
    </row>
    <row r="225" spans="1:11" x14ac:dyDescent="0.25">
      <c r="A225" s="13"/>
      <c r="B225" s="16"/>
      <c r="C225" s="18"/>
      <c r="D225" s="7"/>
      <c r="E225" s="7"/>
      <c r="F225" s="21"/>
      <c r="G225" s="22"/>
      <c r="H225" s="9"/>
      <c r="I225" s="9"/>
      <c r="J225" s="9"/>
      <c r="K225" s="9"/>
    </row>
    <row r="226" spans="1:11" x14ac:dyDescent="0.25">
      <c r="A226" s="13"/>
      <c r="B226" s="14"/>
      <c r="C226" s="18"/>
      <c r="D226" s="7"/>
      <c r="E226" s="7"/>
      <c r="F226" s="21"/>
      <c r="G226" s="22"/>
      <c r="H226" s="9"/>
      <c r="I226" s="9"/>
      <c r="J226" s="9"/>
      <c r="K226" s="9"/>
    </row>
    <row r="227" spans="1:11" x14ac:dyDescent="0.25">
      <c r="A227" s="13"/>
      <c r="B227" s="14"/>
      <c r="C227" s="18"/>
      <c r="D227" s="7"/>
      <c r="E227" s="7"/>
      <c r="F227" s="21"/>
      <c r="G227" s="22"/>
      <c r="H227" s="9"/>
      <c r="I227" s="9"/>
      <c r="J227" s="9"/>
      <c r="K227" s="9"/>
    </row>
    <row r="228" spans="1:11" x14ac:dyDescent="0.25">
      <c r="A228" s="13"/>
      <c r="B228" s="14"/>
      <c r="C228" s="18"/>
      <c r="D228" s="7"/>
      <c r="E228" s="7"/>
      <c r="F228" s="21"/>
      <c r="G228" s="22"/>
      <c r="H228" s="9"/>
      <c r="I228" s="9"/>
      <c r="J228" s="9"/>
      <c r="K228" s="9"/>
    </row>
    <row r="229" spans="1:11" x14ac:dyDescent="0.25">
      <c r="A229" s="13"/>
      <c r="B229" s="14"/>
      <c r="C229" s="18"/>
      <c r="D229" s="7"/>
      <c r="E229" s="7"/>
      <c r="F229" s="21"/>
      <c r="G229" s="22"/>
      <c r="H229" s="9"/>
      <c r="I229" s="9"/>
      <c r="J229" s="9"/>
      <c r="K229" s="9"/>
    </row>
    <row r="230" spans="1:11" x14ac:dyDescent="0.25">
      <c r="A230" s="13"/>
      <c r="B230" s="14"/>
      <c r="C230" s="18"/>
      <c r="D230" s="7"/>
      <c r="E230" s="7"/>
      <c r="F230" s="23"/>
      <c r="G230" s="19"/>
      <c r="H230" s="9"/>
      <c r="I230" s="9"/>
      <c r="J230" s="9"/>
      <c r="K230" s="9"/>
    </row>
    <row r="231" spans="1:11" x14ac:dyDescent="0.25">
      <c r="A231" s="13"/>
      <c r="B231" s="14"/>
      <c r="C231" s="18"/>
      <c r="D231" s="7"/>
      <c r="E231" s="7"/>
      <c r="F231" s="23"/>
      <c r="G231" s="19"/>
      <c r="H231" s="9"/>
      <c r="I231" s="9"/>
      <c r="J231" s="9"/>
      <c r="K231" s="9"/>
    </row>
    <row r="232" spans="1:11" x14ac:dyDescent="0.25">
      <c r="A232" s="13"/>
      <c r="B232" s="14"/>
      <c r="C232" s="18"/>
      <c r="D232" s="7"/>
      <c r="E232" s="7"/>
      <c r="F232" s="23"/>
      <c r="G232" s="19"/>
      <c r="H232" s="9"/>
      <c r="I232" s="9"/>
      <c r="J232" s="9"/>
      <c r="K232" s="9"/>
    </row>
    <row r="233" spans="1:11" x14ac:dyDescent="0.25">
      <c r="A233" s="13"/>
      <c r="B233" s="14"/>
      <c r="C233" s="18"/>
      <c r="D233" s="7"/>
      <c r="E233" s="7"/>
      <c r="F233" s="23"/>
      <c r="G233" s="19"/>
      <c r="H233" s="9"/>
      <c r="I233" s="9"/>
      <c r="J233" s="9"/>
      <c r="K233" s="9"/>
    </row>
    <row r="234" spans="1:11" x14ac:dyDescent="0.25">
      <c r="A234" s="13"/>
      <c r="B234" s="14"/>
      <c r="C234" s="18"/>
      <c r="D234" s="7"/>
      <c r="E234" s="7"/>
      <c r="F234" s="23"/>
      <c r="G234" s="19"/>
      <c r="H234" s="9"/>
      <c r="I234" s="9"/>
      <c r="J234" s="9"/>
      <c r="K234" s="9"/>
    </row>
    <row r="235" spans="1:11" x14ac:dyDescent="0.25">
      <c r="A235" s="13"/>
      <c r="B235" s="16"/>
      <c r="C235" s="18"/>
      <c r="D235" s="7"/>
      <c r="E235" s="7"/>
      <c r="F235" s="23"/>
      <c r="G235" s="19"/>
      <c r="H235" s="9"/>
      <c r="I235" s="9"/>
      <c r="J235" s="9"/>
      <c r="K235" s="9"/>
    </row>
    <row r="236" spans="1:11" x14ac:dyDescent="0.25">
      <c r="A236" s="13"/>
      <c r="B236" s="16"/>
      <c r="C236" s="18"/>
      <c r="D236" s="7"/>
      <c r="E236" s="7"/>
      <c r="F236" s="23"/>
      <c r="G236" s="19"/>
      <c r="H236" s="9"/>
      <c r="I236" s="9"/>
      <c r="J236" s="9"/>
      <c r="K236" s="9"/>
    </row>
    <row r="237" spans="1:11" x14ac:dyDescent="0.25">
      <c r="A237" s="13"/>
      <c r="B237" s="16"/>
      <c r="C237" s="18"/>
      <c r="D237" s="7"/>
      <c r="E237" s="7"/>
      <c r="F237" s="23"/>
      <c r="G237" s="19"/>
      <c r="H237" s="9"/>
      <c r="I237" s="9"/>
      <c r="J237" s="9"/>
      <c r="K237" s="9"/>
    </row>
    <row r="238" spans="1:11" x14ac:dyDescent="0.25">
      <c r="A238" s="13"/>
      <c r="B238" s="16"/>
      <c r="C238" s="18"/>
      <c r="D238" s="7"/>
      <c r="E238" s="7"/>
      <c r="F238" s="23"/>
      <c r="G238" s="19"/>
      <c r="H238" s="9"/>
      <c r="I238" s="9"/>
      <c r="J238" s="9"/>
      <c r="K238" s="9"/>
    </row>
    <row r="239" spans="1:11" x14ac:dyDescent="0.25">
      <c r="A239" s="13"/>
      <c r="B239" s="16"/>
      <c r="C239" s="18"/>
      <c r="D239" s="7"/>
      <c r="E239" s="7"/>
      <c r="F239" s="23"/>
      <c r="G239" s="19"/>
      <c r="H239" s="9"/>
      <c r="I239" s="9"/>
      <c r="J239" s="9"/>
      <c r="K239" s="9"/>
    </row>
    <row r="240" spans="1:11" x14ac:dyDescent="0.25">
      <c r="A240" s="13"/>
      <c r="B240" s="14"/>
      <c r="C240" s="18"/>
      <c r="D240" s="7"/>
      <c r="E240" s="7"/>
      <c r="F240" s="23"/>
      <c r="G240" s="19"/>
      <c r="H240" s="9"/>
      <c r="I240" s="9"/>
      <c r="J240" s="9"/>
      <c r="K240" s="9"/>
    </row>
    <row r="241" spans="1:11" x14ac:dyDescent="0.25">
      <c r="A241" s="13"/>
      <c r="B241" s="14"/>
      <c r="C241" s="18"/>
      <c r="D241" s="7"/>
      <c r="E241" s="7"/>
      <c r="F241" s="23"/>
      <c r="G241" s="19"/>
      <c r="H241" s="9"/>
      <c r="I241" s="9"/>
      <c r="J241" s="9"/>
      <c r="K241" s="9"/>
    </row>
    <row r="242" spans="1:11" x14ac:dyDescent="0.25">
      <c r="A242" s="13"/>
      <c r="B242" s="14"/>
      <c r="C242" s="18"/>
      <c r="D242" s="7"/>
      <c r="E242" s="7"/>
      <c r="F242" s="23"/>
      <c r="G242" s="19"/>
      <c r="H242" s="9"/>
      <c r="I242" s="9"/>
      <c r="J242" s="9"/>
      <c r="K242" s="9"/>
    </row>
    <row r="243" spans="1:11" x14ac:dyDescent="0.25">
      <c r="A243" s="13"/>
      <c r="B243" s="14"/>
      <c r="C243" s="18"/>
      <c r="D243" s="7"/>
      <c r="E243" s="7"/>
      <c r="F243" s="23"/>
      <c r="G243" s="19"/>
      <c r="H243" s="9"/>
      <c r="I243" s="9"/>
      <c r="J243" s="9"/>
      <c r="K243" s="9"/>
    </row>
    <row r="244" spans="1:11" x14ac:dyDescent="0.25">
      <c r="A244" s="13"/>
      <c r="B244" s="14"/>
      <c r="C244" s="18"/>
      <c r="D244" s="7"/>
      <c r="E244" s="7"/>
      <c r="F244" s="23"/>
      <c r="G244" s="19"/>
      <c r="H244" s="9"/>
      <c r="I244" s="9"/>
      <c r="J244" s="9"/>
      <c r="K244" s="9"/>
    </row>
    <row r="245" spans="1:11" x14ac:dyDescent="0.25">
      <c r="A245" s="13"/>
      <c r="B245" s="14"/>
      <c r="C245" s="18"/>
      <c r="D245" s="7"/>
      <c r="E245" s="7"/>
      <c r="F245" s="23"/>
      <c r="G245" s="19"/>
      <c r="H245" s="9"/>
      <c r="I245" s="9"/>
      <c r="J245" s="9"/>
      <c r="K245" s="9"/>
    </row>
    <row r="246" spans="1:11" x14ac:dyDescent="0.25">
      <c r="A246" s="13"/>
      <c r="B246" s="14"/>
      <c r="C246" s="18"/>
      <c r="D246" s="7"/>
      <c r="E246" s="7"/>
      <c r="F246" s="23"/>
      <c r="G246" s="19"/>
      <c r="H246" s="9"/>
      <c r="I246" s="9"/>
      <c r="J246" s="9"/>
      <c r="K246" s="9"/>
    </row>
    <row r="247" spans="1:11" x14ac:dyDescent="0.25">
      <c r="A247" s="13"/>
      <c r="B247" s="14"/>
      <c r="C247" s="18"/>
      <c r="D247" s="7"/>
      <c r="E247" s="7"/>
      <c r="F247" s="23"/>
      <c r="G247" s="19"/>
      <c r="H247" s="9"/>
      <c r="I247" s="9"/>
      <c r="J247" s="9"/>
      <c r="K247" s="9"/>
    </row>
    <row r="248" spans="1:11" x14ac:dyDescent="0.25">
      <c r="A248" s="13"/>
      <c r="B248" s="14"/>
      <c r="C248" s="18"/>
      <c r="D248" s="7"/>
      <c r="E248" s="7"/>
      <c r="F248" s="23"/>
      <c r="G248" s="19"/>
      <c r="H248" s="9"/>
      <c r="I248" s="9"/>
      <c r="J248" s="9"/>
      <c r="K248" s="9"/>
    </row>
    <row r="249" spans="1:11" x14ac:dyDescent="0.25">
      <c r="A249" s="13"/>
      <c r="B249" s="14"/>
      <c r="C249" s="18"/>
      <c r="D249" s="7"/>
      <c r="E249" s="7"/>
      <c r="F249" s="23"/>
      <c r="G249" s="19"/>
      <c r="H249" s="9"/>
      <c r="I249" s="9"/>
      <c r="J249" s="9"/>
      <c r="K249" s="9"/>
    </row>
    <row r="250" spans="1:11" x14ac:dyDescent="0.25">
      <c r="A250" s="13"/>
      <c r="B250" s="16"/>
      <c r="C250" s="18"/>
      <c r="D250" s="7"/>
      <c r="E250" s="7"/>
      <c r="F250" s="23"/>
      <c r="G250" s="19"/>
      <c r="H250" s="9"/>
      <c r="I250" s="9"/>
      <c r="J250" s="9"/>
      <c r="K250" s="9"/>
    </row>
    <row r="251" spans="1:11" x14ac:dyDescent="0.25">
      <c r="A251" s="13"/>
      <c r="B251" s="16"/>
      <c r="C251" s="18"/>
      <c r="D251" s="7"/>
      <c r="E251" s="7"/>
      <c r="F251" s="23"/>
      <c r="G251" s="19"/>
      <c r="H251" s="9"/>
      <c r="I251" s="9"/>
      <c r="J251" s="9"/>
      <c r="K251" s="9"/>
    </row>
    <row r="252" spans="1:11" x14ac:dyDescent="0.25">
      <c r="A252" s="13"/>
      <c r="B252" s="14"/>
      <c r="C252" s="18"/>
      <c r="D252" s="7"/>
      <c r="E252" s="7"/>
      <c r="F252" s="23"/>
      <c r="G252" s="19"/>
      <c r="H252" s="9"/>
      <c r="I252" s="9"/>
      <c r="J252" s="9"/>
      <c r="K252" s="9"/>
    </row>
    <row r="253" spans="1:11" x14ac:dyDescent="0.25">
      <c r="A253" s="13"/>
      <c r="B253" s="14"/>
      <c r="C253" s="18"/>
      <c r="D253" s="7"/>
      <c r="E253" s="7"/>
      <c r="F253" s="23"/>
      <c r="G253" s="19"/>
      <c r="H253" s="9"/>
      <c r="I253" s="9"/>
      <c r="J253" s="9"/>
      <c r="K253" s="9"/>
    </row>
    <row r="254" spans="1:11" x14ac:dyDescent="0.25">
      <c r="A254" s="13"/>
      <c r="B254" s="16"/>
      <c r="C254" s="18"/>
      <c r="D254" s="7"/>
      <c r="E254" s="7"/>
      <c r="F254" s="23"/>
      <c r="G254" s="19"/>
      <c r="H254" s="9"/>
      <c r="I254" s="9"/>
      <c r="J254" s="9"/>
      <c r="K254" s="9"/>
    </row>
    <row r="255" spans="1:11" x14ac:dyDescent="0.25">
      <c r="A255" s="13"/>
      <c r="B255" s="14"/>
      <c r="C255" s="18"/>
      <c r="D255" s="7"/>
      <c r="E255" s="7"/>
      <c r="F255" s="23"/>
      <c r="G255" s="19"/>
      <c r="H255" s="9"/>
      <c r="I255" s="9"/>
      <c r="J255" s="9"/>
      <c r="K255" s="9"/>
    </row>
    <row r="256" spans="1:11" x14ac:dyDescent="0.25">
      <c r="A256" s="13"/>
      <c r="B256" s="16"/>
      <c r="C256" s="18"/>
      <c r="D256" s="7"/>
      <c r="E256" s="7"/>
      <c r="F256" s="23"/>
      <c r="G256" s="19"/>
      <c r="H256" s="9"/>
      <c r="I256" s="9"/>
      <c r="J256" s="9"/>
      <c r="K256" s="9"/>
    </row>
    <row r="257" spans="1:11" x14ac:dyDescent="0.25">
      <c r="A257" s="13"/>
      <c r="B257" s="14"/>
      <c r="C257" s="18"/>
      <c r="D257" s="7"/>
      <c r="E257" s="7"/>
      <c r="F257" s="23"/>
      <c r="G257" s="19"/>
      <c r="H257" s="9"/>
      <c r="I257" s="9"/>
      <c r="J257" s="9"/>
      <c r="K257" s="9"/>
    </row>
    <row r="258" spans="1:11" x14ac:dyDescent="0.25">
      <c r="A258" s="13"/>
      <c r="B258" s="14"/>
      <c r="C258" s="18"/>
      <c r="D258" s="7"/>
      <c r="E258" s="7"/>
      <c r="F258" s="23"/>
      <c r="G258" s="19"/>
      <c r="H258" s="9"/>
      <c r="I258" s="9"/>
      <c r="J258" s="9"/>
      <c r="K258" s="9"/>
    </row>
    <row r="259" spans="1:11" x14ac:dyDescent="0.25">
      <c r="A259" s="13"/>
      <c r="B259" s="14"/>
      <c r="C259" s="18"/>
      <c r="D259" s="7"/>
      <c r="E259" s="7"/>
      <c r="F259" s="23"/>
      <c r="G259" s="19"/>
      <c r="H259" s="9"/>
      <c r="I259" s="9"/>
      <c r="J259" s="9"/>
      <c r="K259" s="9"/>
    </row>
    <row r="260" spans="1:11" x14ac:dyDescent="0.25">
      <c r="A260" s="13"/>
      <c r="B260" s="16"/>
      <c r="C260" s="18"/>
      <c r="D260" s="7"/>
      <c r="E260" s="7"/>
      <c r="F260" s="23"/>
      <c r="G260" s="19"/>
      <c r="H260" s="9"/>
      <c r="I260" s="9"/>
      <c r="J260" s="9"/>
      <c r="K260" s="9"/>
    </row>
    <row r="261" spans="1:11" x14ac:dyDescent="0.25">
      <c r="A261" s="13"/>
      <c r="B261" s="14"/>
      <c r="C261" s="18"/>
      <c r="D261" s="7"/>
      <c r="E261" s="7"/>
      <c r="F261" s="23"/>
      <c r="G261" s="19"/>
      <c r="H261" s="9"/>
      <c r="I261" s="9"/>
      <c r="J261" s="9"/>
      <c r="K261" s="9"/>
    </row>
    <row r="262" spans="1:11" x14ac:dyDescent="0.25">
      <c r="A262" s="13"/>
      <c r="B262" s="16"/>
      <c r="C262" s="18"/>
      <c r="D262" s="7"/>
      <c r="E262" s="7"/>
      <c r="F262" s="23"/>
      <c r="G262" s="19"/>
      <c r="H262" s="9"/>
      <c r="I262" s="9"/>
      <c r="J262" s="9"/>
      <c r="K262" s="9"/>
    </row>
    <row r="263" spans="1:11" x14ac:dyDescent="0.25">
      <c r="A263" s="13"/>
      <c r="B263" s="14"/>
      <c r="C263" s="18"/>
      <c r="D263" s="7"/>
      <c r="E263" s="7"/>
      <c r="F263" s="23"/>
      <c r="G263" s="19"/>
      <c r="H263" s="9"/>
      <c r="I263" s="9"/>
      <c r="J263" s="9"/>
      <c r="K263" s="9"/>
    </row>
    <row r="264" spans="1:11" x14ac:dyDescent="0.25">
      <c r="A264" s="13"/>
      <c r="B264" s="14"/>
      <c r="C264" s="18"/>
      <c r="D264" s="7"/>
      <c r="E264" s="7"/>
      <c r="F264" s="23"/>
      <c r="G264" s="19"/>
      <c r="H264" s="9"/>
      <c r="I264" s="9"/>
      <c r="J264" s="9"/>
      <c r="K264" s="9"/>
    </row>
    <row r="265" spans="1:11" x14ac:dyDescent="0.25">
      <c r="A265" s="13"/>
      <c r="B265" s="14"/>
      <c r="C265" s="18"/>
      <c r="D265" s="7"/>
      <c r="E265" s="7"/>
      <c r="F265" s="23"/>
      <c r="G265" s="19"/>
      <c r="H265" s="9"/>
      <c r="I265" s="9"/>
      <c r="J265" s="9"/>
      <c r="K265" s="9"/>
    </row>
    <row r="266" spans="1:11" x14ac:dyDescent="0.25">
      <c r="A266" s="13"/>
      <c r="B266" s="16"/>
      <c r="C266" s="18"/>
      <c r="D266" s="7"/>
      <c r="E266" s="7"/>
      <c r="F266" s="23"/>
      <c r="G266" s="19"/>
      <c r="H266" s="9"/>
      <c r="I266" s="9"/>
      <c r="J266" s="9"/>
      <c r="K266" s="9"/>
    </row>
    <row r="267" spans="1:11" x14ac:dyDescent="0.25">
      <c r="A267" s="13"/>
      <c r="B267" s="16"/>
      <c r="C267" s="18"/>
      <c r="D267" s="7"/>
      <c r="E267" s="7"/>
      <c r="F267" s="23"/>
      <c r="G267" s="19"/>
      <c r="H267" s="9"/>
      <c r="I267" s="9"/>
      <c r="J267" s="9"/>
      <c r="K267" s="9"/>
    </row>
    <row r="268" spans="1:11" x14ac:dyDescent="0.25">
      <c r="A268" s="13"/>
      <c r="B268" s="14"/>
      <c r="C268" s="18"/>
      <c r="D268" s="7"/>
      <c r="E268" s="7"/>
      <c r="F268" s="23"/>
      <c r="G268" s="19"/>
      <c r="H268" s="9"/>
      <c r="I268" s="9"/>
      <c r="J268" s="9"/>
      <c r="K268" s="9"/>
    </row>
    <row r="269" spans="1:11" x14ac:dyDescent="0.25">
      <c r="A269" s="13"/>
      <c r="B269" s="14"/>
      <c r="C269" s="18"/>
      <c r="D269" s="7"/>
      <c r="E269" s="7"/>
      <c r="F269" s="23"/>
      <c r="G269" s="19"/>
      <c r="H269" s="9"/>
      <c r="I269" s="9"/>
      <c r="J269" s="9"/>
      <c r="K269" s="9"/>
    </row>
    <row r="270" spans="1:11" x14ac:dyDescent="0.25">
      <c r="A270" s="13"/>
      <c r="B270" s="14"/>
      <c r="C270" s="18"/>
      <c r="D270" s="7"/>
      <c r="E270" s="7"/>
      <c r="F270" s="23"/>
      <c r="G270" s="19"/>
      <c r="H270" s="9"/>
      <c r="I270" s="9"/>
      <c r="J270" s="9"/>
      <c r="K270" s="9"/>
    </row>
    <row r="271" spans="1:11" x14ac:dyDescent="0.25">
      <c r="A271" s="13"/>
      <c r="B271" s="14"/>
      <c r="C271" s="18"/>
      <c r="D271" s="7"/>
      <c r="E271" s="7"/>
      <c r="F271" s="23"/>
      <c r="H271" s="9"/>
      <c r="I271" s="9"/>
      <c r="J271" s="9"/>
      <c r="K271" s="9"/>
    </row>
    <row r="272" spans="1:11" x14ac:dyDescent="0.25">
      <c r="A272" s="13"/>
      <c r="B272" s="14"/>
      <c r="C272" s="18"/>
      <c r="D272" s="7"/>
      <c r="E272" s="7"/>
      <c r="F272" s="23"/>
      <c r="G272" s="19"/>
      <c r="H272" s="9"/>
      <c r="I272" s="9"/>
      <c r="J272" s="9"/>
      <c r="K272" s="9"/>
    </row>
    <row r="273" spans="1:11" x14ac:dyDescent="0.25">
      <c r="A273" s="13"/>
      <c r="B273" s="14"/>
      <c r="C273" s="18"/>
      <c r="D273" s="7"/>
      <c r="E273" s="7"/>
      <c r="F273" s="20"/>
      <c r="G273" s="20"/>
      <c r="H273" s="9"/>
      <c r="I273" s="9"/>
      <c r="J273" s="9"/>
      <c r="K273" s="9"/>
    </row>
    <row r="274" spans="1:11" x14ac:dyDescent="0.25">
      <c r="A274" s="13"/>
      <c r="B274" s="14"/>
      <c r="C274" s="18"/>
      <c r="D274" s="7"/>
      <c r="E274" s="7"/>
      <c r="F274" s="20"/>
      <c r="G274" s="20"/>
      <c r="H274" s="9"/>
      <c r="I274" s="9"/>
      <c r="J274" s="9"/>
      <c r="K274" s="9"/>
    </row>
    <row r="275" spans="1:11" x14ac:dyDescent="0.25">
      <c r="A275" s="13"/>
      <c r="B275" s="16"/>
      <c r="C275" s="18"/>
      <c r="D275" s="7"/>
      <c r="E275" s="7"/>
      <c r="F275" s="20"/>
      <c r="G275" s="20"/>
      <c r="H275" s="9"/>
      <c r="I275" s="9"/>
      <c r="J275" s="9"/>
      <c r="K275" s="9"/>
    </row>
    <row r="276" spans="1:11" x14ac:dyDescent="0.25">
      <c r="A276" s="13"/>
      <c r="B276" s="14"/>
      <c r="C276" s="18"/>
      <c r="D276" s="7"/>
      <c r="E276" s="7"/>
      <c r="F276" s="20"/>
      <c r="G276" s="20"/>
      <c r="H276" s="9"/>
      <c r="I276" s="9"/>
      <c r="J276" s="9"/>
      <c r="K276" s="9"/>
    </row>
    <row r="277" spans="1:11" x14ac:dyDescent="0.25">
      <c r="A277" s="13"/>
      <c r="B277" s="16"/>
      <c r="C277" s="18"/>
      <c r="D277" s="7"/>
      <c r="E277" s="7"/>
      <c r="F277" s="20"/>
      <c r="G277" s="20"/>
      <c r="H277" s="9"/>
      <c r="I277" s="9"/>
      <c r="J277" s="9"/>
      <c r="K277" s="9"/>
    </row>
    <row r="278" spans="1:11" x14ac:dyDescent="0.25">
      <c r="A278" s="13"/>
      <c r="B278" s="14"/>
      <c r="C278" s="18"/>
      <c r="D278" s="7"/>
      <c r="E278" s="7"/>
      <c r="F278" s="20"/>
      <c r="G278" s="20"/>
      <c r="H278" s="9"/>
      <c r="I278" s="9"/>
      <c r="J278" s="9"/>
      <c r="K278" s="9"/>
    </row>
    <row r="279" spans="1:11" x14ac:dyDescent="0.25">
      <c r="A279" s="13"/>
      <c r="B279" s="14"/>
      <c r="C279" s="18"/>
      <c r="D279" s="7"/>
      <c r="E279" s="7"/>
      <c r="F279" s="20"/>
      <c r="G279" s="20"/>
      <c r="H279" s="9"/>
      <c r="I279" s="9"/>
      <c r="J279" s="9"/>
      <c r="K279" s="9"/>
    </row>
    <row r="280" spans="1:11" x14ac:dyDescent="0.25">
      <c r="A280" s="13"/>
      <c r="B280" s="16"/>
      <c r="C280" s="18"/>
      <c r="D280" s="7"/>
      <c r="E280" s="7"/>
      <c r="F280" s="20"/>
      <c r="G280" s="20"/>
      <c r="H280" s="9"/>
      <c r="I280" s="9"/>
      <c r="J280" s="9"/>
      <c r="K280" s="9"/>
    </row>
    <row r="281" spans="1:11" x14ac:dyDescent="0.25">
      <c r="A281" s="13"/>
      <c r="B281" s="14"/>
      <c r="C281" s="18"/>
      <c r="D281" s="7"/>
      <c r="E281" s="7"/>
      <c r="F281" s="20"/>
      <c r="G281" s="20"/>
      <c r="H281" s="9"/>
      <c r="I281" s="9"/>
      <c r="J281" s="9"/>
      <c r="K281" s="9"/>
    </row>
    <row r="282" spans="1:11" x14ac:dyDescent="0.25">
      <c r="A282" s="13"/>
      <c r="B282" s="16"/>
      <c r="C282" s="18"/>
      <c r="D282" s="7"/>
      <c r="E282" s="7"/>
      <c r="F282" s="20"/>
      <c r="G282" s="20"/>
      <c r="H282" s="9"/>
      <c r="I282" s="9"/>
      <c r="J282" s="9"/>
      <c r="K282" s="9"/>
    </row>
    <row r="283" spans="1:11" x14ac:dyDescent="0.25">
      <c r="A283" s="13"/>
      <c r="B283" s="14"/>
      <c r="C283" s="18"/>
      <c r="D283" s="7"/>
      <c r="E283" s="7"/>
      <c r="F283" s="20"/>
      <c r="G283" s="20"/>
      <c r="H283" s="9"/>
      <c r="I283" s="9"/>
      <c r="J283" s="9"/>
      <c r="K283" s="9"/>
    </row>
    <row r="284" spans="1:11" x14ac:dyDescent="0.25">
      <c r="A284" s="13"/>
      <c r="B284" s="16"/>
      <c r="C284" s="18"/>
      <c r="D284" s="7"/>
      <c r="E284" s="7"/>
      <c r="F284" s="20"/>
      <c r="G284" s="20"/>
      <c r="H284" s="9"/>
      <c r="I284" s="9"/>
      <c r="J284" s="9"/>
      <c r="K284" s="9"/>
    </row>
    <row r="285" spans="1:11" x14ac:dyDescent="0.25">
      <c r="A285" s="13"/>
      <c r="B285" s="14"/>
      <c r="C285" s="18"/>
      <c r="D285" s="7"/>
      <c r="E285" s="7"/>
      <c r="F285" s="20"/>
      <c r="G285" s="20"/>
      <c r="H285" s="9"/>
      <c r="I285" s="9"/>
      <c r="J285" s="9"/>
      <c r="K285" s="9"/>
    </row>
    <row r="286" spans="1:11" x14ac:dyDescent="0.25">
      <c r="A286" s="13"/>
      <c r="B286" s="14"/>
      <c r="C286" s="18"/>
      <c r="D286" s="7"/>
      <c r="E286" s="7"/>
      <c r="F286" s="20"/>
      <c r="G286" s="20"/>
      <c r="H286" s="9"/>
      <c r="I286" s="9"/>
      <c r="J286" s="9"/>
      <c r="K286" s="9"/>
    </row>
    <row r="287" spans="1:11" x14ac:dyDescent="0.25">
      <c r="A287" s="13"/>
      <c r="B287" s="14"/>
      <c r="C287" s="18"/>
      <c r="D287" s="7"/>
      <c r="E287" s="7"/>
      <c r="F287" s="20"/>
      <c r="G287" s="20"/>
      <c r="H287" s="9"/>
      <c r="I287" s="9"/>
      <c r="J287" s="9"/>
      <c r="K287" s="9"/>
    </row>
    <row r="288" spans="1:11" x14ac:dyDescent="0.25">
      <c r="A288" s="13"/>
      <c r="B288" s="14"/>
      <c r="C288" s="18"/>
      <c r="D288" s="7"/>
      <c r="E288" s="7"/>
      <c r="F288" s="20"/>
      <c r="G288" s="20"/>
      <c r="H288" s="9"/>
      <c r="I288" s="9"/>
      <c r="J288" s="9"/>
      <c r="K288" s="9"/>
    </row>
    <row r="289" spans="1:11" x14ac:dyDescent="0.25">
      <c r="A289" s="13"/>
      <c r="B289" s="14"/>
      <c r="C289" s="18"/>
      <c r="D289" s="7"/>
      <c r="E289" s="7"/>
      <c r="F289" s="20"/>
      <c r="G289" s="20"/>
      <c r="H289" s="9"/>
      <c r="I289" s="9"/>
      <c r="J289" s="9"/>
      <c r="K289" s="9"/>
    </row>
    <row r="290" spans="1:11" x14ac:dyDescent="0.25">
      <c r="A290" s="13"/>
      <c r="B290" s="14"/>
      <c r="C290" s="18"/>
      <c r="D290" s="7"/>
      <c r="E290" s="7"/>
      <c r="F290" s="20"/>
      <c r="G290" s="20"/>
      <c r="H290" s="9"/>
      <c r="I290" s="9"/>
      <c r="J290" s="9"/>
      <c r="K290" s="9"/>
    </row>
    <row r="291" spans="1:11" x14ac:dyDescent="0.25">
      <c r="A291" s="13"/>
      <c r="B291" s="14"/>
      <c r="C291" s="18"/>
      <c r="D291" s="7"/>
      <c r="E291" s="7"/>
      <c r="F291" s="20"/>
      <c r="G291" s="20"/>
      <c r="H291" s="9"/>
      <c r="I291" s="9"/>
      <c r="J291" s="9"/>
      <c r="K291" s="9"/>
    </row>
    <row r="292" spans="1:11" x14ac:dyDescent="0.25">
      <c r="A292" s="13"/>
      <c r="B292" s="14"/>
      <c r="C292" s="18"/>
      <c r="D292" s="7"/>
      <c r="E292" s="7"/>
      <c r="F292" s="20"/>
      <c r="G292" s="20"/>
      <c r="H292" s="9"/>
      <c r="I292" s="9"/>
      <c r="J292" s="9"/>
      <c r="K292" s="9"/>
    </row>
    <row r="293" spans="1:11" x14ac:dyDescent="0.25">
      <c r="A293" s="13"/>
      <c r="B293" s="14"/>
      <c r="C293" s="18"/>
      <c r="D293" s="7"/>
      <c r="E293" s="7"/>
      <c r="F293" s="20"/>
      <c r="G293" s="20"/>
      <c r="H293" s="9"/>
      <c r="I293" s="9"/>
      <c r="J293" s="9"/>
      <c r="K293" s="9"/>
    </row>
    <row r="294" spans="1:11" x14ac:dyDescent="0.25">
      <c r="A294" s="13"/>
      <c r="B294" s="16"/>
      <c r="C294" s="18"/>
      <c r="D294" s="7"/>
      <c r="E294" s="7"/>
      <c r="F294" s="20"/>
      <c r="G294" s="20"/>
      <c r="H294" s="9"/>
      <c r="I294" s="9"/>
      <c r="J294" s="9"/>
      <c r="K294" s="9"/>
    </row>
    <row r="295" spans="1:11" x14ac:dyDescent="0.25">
      <c r="A295" s="13"/>
      <c r="B295" s="14"/>
      <c r="C295" s="18"/>
      <c r="D295" s="7"/>
      <c r="E295" s="7"/>
      <c r="F295" s="20"/>
      <c r="G295" s="20"/>
      <c r="H295" s="9"/>
      <c r="I295" s="9"/>
      <c r="J295" s="9"/>
      <c r="K295" s="9"/>
    </row>
    <row r="296" spans="1:11" x14ac:dyDescent="0.25">
      <c r="A296" s="13"/>
      <c r="B296" s="14"/>
      <c r="C296" s="18"/>
      <c r="D296" s="7"/>
      <c r="E296" s="7"/>
      <c r="F296" s="20"/>
      <c r="G296" s="20"/>
      <c r="H296" s="9"/>
      <c r="I296" s="9"/>
      <c r="J296" s="9"/>
      <c r="K296" s="9"/>
    </row>
    <row r="297" spans="1:11" x14ac:dyDescent="0.25">
      <c r="A297" s="13"/>
      <c r="B297" s="14"/>
      <c r="C297" s="18"/>
      <c r="D297" s="7"/>
      <c r="E297" s="7"/>
      <c r="F297" s="20"/>
      <c r="G297" s="20"/>
      <c r="H297" s="9"/>
      <c r="I297" s="9"/>
      <c r="J297" s="9"/>
      <c r="K297" s="9"/>
    </row>
    <row r="298" spans="1:11" x14ac:dyDescent="0.25">
      <c r="A298" s="13"/>
      <c r="B298" s="16"/>
      <c r="C298" s="18"/>
      <c r="D298" s="7"/>
      <c r="E298" s="7"/>
      <c r="F298" s="20"/>
      <c r="G298" s="20"/>
      <c r="H298" s="9"/>
      <c r="I298" s="9"/>
      <c r="J298" s="9"/>
      <c r="K298" s="9"/>
    </row>
    <row r="299" spans="1:11" x14ac:dyDescent="0.25">
      <c r="A299" s="13"/>
      <c r="B299" s="14"/>
      <c r="C299" s="18"/>
      <c r="D299" s="7"/>
      <c r="E299" s="7"/>
      <c r="F299" s="20"/>
      <c r="G299" s="20"/>
      <c r="H299" s="9"/>
      <c r="I299" s="9"/>
      <c r="J299" s="9"/>
      <c r="K299" s="9"/>
    </row>
    <row r="300" spans="1:11" x14ac:dyDescent="0.25">
      <c r="A300" s="13"/>
      <c r="B300" s="14"/>
      <c r="C300" s="18"/>
      <c r="D300" s="7"/>
      <c r="E300" s="7"/>
      <c r="F300" s="20"/>
      <c r="G300" s="20"/>
      <c r="H300" s="9"/>
      <c r="I300" s="9"/>
      <c r="J300" s="9"/>
      <c r="K300" s="9"/>
    </row>
    <row r="301" spans="1:11" x14ac:dyDescent="0.25">
      <c r="A301" s="13"/>
      <c r="B301" s="14"/>
      <c r="C301" s="18"/>
      <c r="D301" s="7"/>
      <c r="E301" s="7"/>
      <c r="F301" s="20"/>
      <c r="G301" s="20"/>
      <c r="H301" s="9"/>
      <c r="I301" s="9"/>
      <c r="J301" s="9"/>
      <c r="K301" s="9"/>
    </row>
    <row r="302" spans="1:11" x14ac:dyDescent="0.25">
      <c r="A302" s="13"/>
      <c r="B302" s="14"/>
      <c r="C302" s="18"/>
      <c r="D302" s="7"/>
      <c r="E302" s="7"/>
      <c r="F302" s="20"/>
      <c r="G302" s="20"/>
      <c r="H302" s="9"/>
      <c r="I302" s="9"/>
      <c r="J302" s="9"/>
      <c r="K302" s="9"/>
    </row>
    <row r="303" spans="1:11" x14ac:dyDescent="0.25">
      <c r="A303" s="13"/>
      <c r="B303" s="16"/>
      <c r="C303" s="18"/>
      <c r="D303" s="7"/>
      <c r="E303" s="7"/>
      <c r="F303" s="20"/>
      <c r="G303" s="20"/>
      <c r="H303" s="9"/>
      <c r="I303" s="9"/>
      <c r="J303" s="9"/>
      <c r="K303" s="9"/>
    </row>
    <row r="304" spans="1:11" x14ac:dyDescent="0.25">
      <c r="A304" s="13"/>
      <c r="B304" s="16"/>
      <c r="C304" s="18"/>
      <c r="D304" s="7"/>
      <c r="E304" s="7"/>
      <c r="F304" s="20"/>
      <c r="G304" s="20"/>
      <c r="H304" s="9"/>
      <c r="I304" s="9"/>
      <c r="J304" s="9"/>
      <c r="K304" s="9"/>
    </row>
    <row r="305" spans="1:11" x14ac:dyDescent="0.25">
      <c r="A305" s="13"/>
      <c r="B305" s="16"/>
      <c r="C305" s="18"/>
      <c r="D305" s="7"/>
      <c r="E305" s="7"/>
      <c r="F305" s="20"/>
      <c r="G305" s="20"/>
      <c r="H305" s="9"/>
      <c r="I305" s="9"/>
      <c r="J305" s="9"/>
      <c r="K305" s="9"/>
    </row>
    <row r="306" spans="1:11" x14ac:dyDescent="0.25">
      <c r="A306" s="13"/>
      <c r="B306" s="16"/>
      <c r="C306" s="18"/>
      <c r="D306" s="7"/>
      <c r="E306" s="7"/>
      <c r="F306" s="20"/>
      <c r="G306" s="20"/>
      <c r="H306" s="9"/>
      <c r="I306" s="9"/>
      <c r="J306" s="9"/>
      <c r="K306" s="9"/>
    </row>
    <row r="307" spans="1:11" x14ac:dyDescent="0.25">
      <c r="A307" s="13"/>
      <c r="B307" s="16"/>
      <c r="C307" s="18"/>
      <c r="D307" s="7"/>
      <c r="E307" s="7"/>
      <c r="F307" s="20"/>
      <c r="G307" s="20"/>
      <c r="H307" s="9"/>
      <c r="I307" s="9"/>
      <c r="J307" s="9"/>
      <c r="K307" s="9"/>
    </row>
    <row r="308" spans="1:11" x14ac:dyDescent="0.25">
      <c r="A308" s="13"/>
      <c r="B308" s="16"/>
      <c r="C308" s="18"/>
      <c r="D308" s="7"/>
      <c r="E308" s="7"/>
      <c r="F308" s="20"/>
      <c r="G308" s="20"/>
      <c r="H308" s="9"/>
      <c r="I308" s="9"/>
      <c r="J308" s="9"/>
      <c r="K308" s="9"/>
    </row>
    <row r="309" spans="1:11" x14ac:dyDescent="0.25">
      <c r="A309" s="13"/>
      <c r="B309" s="16"/>
      <c r="C309" s="18"/>
      <c r="D309" s="7"/>
      <c r="E309" s="7"/>
      <c r="F309" s="20"/>
      <c r="G309" s="20"/>
      <c r="H309" s="9"/>
      <c r="I309" s="9"/>
      <c r="J309" s="9"/>
      <c r="K309" s="9"/>
    </row>
    <row r="310" spans="1:11" x14ac:dyDescent="0.25">
      <c r="A310" s="13"/>
      <c r="B310" s="16"/>
      <c r="C310" s="18"/>
      <c r="D310" s="7"/>
      <c r="E310" s="7"/>
      <c r="F310" s="20"/>
      <c r="G310" s="20"/>
      <c r="H310" s="9"/>
      <c r="I310" s="9"/>
      <c r="J310" s="9"/>
      <c r="K310" s="9"/>
    </row>
    <row r="311" spans="1:11" x14ac:dyDescent="0.25">
      <c r="A311" s="13"/>
      <c r="B311" s="16"/>
      <c r="C311" s="18"/>
      <c r="D311" s="7"/>
      <c r="E311" s="7"/>
      <c r="F311" s="20"/>
      <c r="G311" s="20"/>
      <c r="H311" s="9"/>
      <c r="I311" s="9"/>
      <c r="J311" s="9"/>
      <c r="K311" s="9"/>
    </row>
    <row r="312" spans="1:11" x14ac:dyDescent="0.25">
      <c r="A312" s="13"/>
      <c r="B312" s="16"/>
      <c r="C312" s="18"/>
      <c r="D312" s="7"/>
      <c r="E312" s="7"/>
      <c r="F312" s="20"/>
      <c r="G312" s="20"/>
      <c r="H312" s="9"/>
      <c r="I312" s="9"/>
      <c r="J312" s="9"/>
      <c r="K312" s="9"/>
    </row>
    <row r="313" spans="1:11" x14ac:dyDescent="0.25">
      <c r="A313" s="13"/>
      <c r="B313" s="16"/>
      <c r="C313" s="18"/>
      <c r="D313" s="7"/>
      <c r="E313" s="7"/>
      <c r="F313" s="20"/>
      <c r="G313" s="20"/>
      <c r="H313" s="9"/>
      <c r="I313" s="9"/>
      <c r="J313" s="9"/>
      <c r="K313" s="9"/>
    </row>
    <row r="314" spans="1:11" x14ac:dyDescent="0.25">
      <c r="A314" s="13"/>
      <c r="B314" s="16"/>
      <c r="C314" s="18"/>
      <c r="D314" s="7"/>
      <c r="E314" s="7"/>
      <c r="F314" s="20"/>
      <c r="G314" s="20"/>
      <c r="H314" s="9"/>
      <c r="I314" s="9"/>
      <c r="J314" s="9"/>
      <c r="K314" s="9"/>
    </row>
    <row r="315" spans="1:11" x14ac:dyDescent="0.25">
      <c r="A315" s="13"/>
      <c r="B315" s="16"/>
      <c r="C315" s="18"/>
      <c r="D315" s="7"/>
      <c r="E315" s="7"/>
      <c r="F315" s="20"/>
      <c r="G315" s="20"/>
      <c r="H315" s="9"/>
      <c r="I315" s="9"/>
      <c r="J315" s="9"/>
      <c r="K315" s="9"/>
    </row>
    <row r="316" spans="1:11" x14ac:dyDescent="0.25">
      <c r="A316" s="13"/>
      <c r="B316" s="16"/>
      <c r="C316" s="18"/>
      <c r="D316" s="7"/>
      <c r="E316" s="7"/>
      <c r="F316" s="20"/>
      <c r="G316" s="20"/>
      <c r="H316" s="9"/>
      <c r="I316" s="9"/>
      <c r="J316" s="9"/>
      <c r="K316" s="9"/>
    </row>
    <row r="317" spans="1:11" x14ac:dyDescent="0.25">
      <c r="A317" s="13"/>
      <c r="B317" s="16"/>
      <c r="C317" s="18"/>
      <c r="D317" s="7"/>
      <c r="E317" s="7"/>
      <c r="F317" s="20"/>
      <c r="G317" s="20"/>
      <c r="H317" s="9"/>
      <c r="I317" s="9"/>
      <c r="J317" s="9"/>
      <c r="K317" s="9"/>
    </row>
    <row r="318" spans="1:11" x14ac:dyDescent="0.25">
      <c r="A318" s="13"/>
      <c r="B318" s="16"/>
      <c r="C318" s="18"/>
      <c r="D318" s="7"/>
      <c r="E318" s="7"/>
      <c r="F318" s="20"/>
      <c r="G318" s="20"/>
      <c r="H318" s="9"/>
      <c r="I318" s="9"/>
      <c r="J318" s="9"/>
      <c r="K318" s="9"/>
    </row>
    <row r="319" spans="1:11" x14ac:dyDescent="0.25">
      <c r="A319" s="13"/>
      <c r="B319" s="16"/>
      <c r="C319" s="18"/>
      <c r="D319" s="7"/>
      <c r="E319" s="7"/>
      <c r="F319" s="20"/>
      <c r="G319" s="20"/>
      <c r="H319" s="9"/>
      <c r="I319" s="9"/>
      <c r="J319" s="9"/>
      <c r="K319" s="9"/>
    </row>
    <row r="320" spans="1:11" x14ac:dyDescent="0.25">
      <c r="A320" s="13"/>
      <c r="B320" s="16"/>
      <c r="C320" s="18"/>
      <c r="D320" s="7"/>
      <c r="E320" s="7"/>
      <c r="F320" s="20"/>
      <c r="G320" s="20"/>
      <c r="H320" s="9"/>
      <c r="I320" s="9"/>
      <c r="J320" s="9"/>
      <c r="K320" s="9"/>
    </row>
    <row r="321" spans="1:11" x14ac:dyDescent="0.25">
      <c r="A321" s="13"/>
      <c r="B321" s="16"/>
      <c r="C321" s="18"/>
      <c r="D321" s="7"/>
      <c r="E321" s="7"/>
      <c r="F321" s="20"/>
      <c r="G321" s="20"/>
      <c r="H321" s="9"/>
      <c r="I321" s="9"/>
      <c r="J321" s="9"/>
      <c r="K321" s="9"/>
    </row>
    <row r="322" spans="1:11" x14ac:dyDescent="0.25">
      <c r="A322" s="13"/>
      <c r="B322" s="16"/>
      <c r="C322" s="18"/>
      <c r="D322" s="7"/>
      <c r="E322" s="7"/>
      <c r="F322" s="20"/>
      <c r="G322" s="20"/>
      <c r="H322" s="5"/>
      <c r="I322" s="24"/>
      <c r="J322" s="24"/>
      <c r="K322" s="24"/>
    </row>
    <row r="323" spans="1:11" x14ac:dyDescent="0.25">
      <c r="A323" s="6"/>
      <c r="B323" s="6"/>
      <c r="C323" s="25"/>
      <c r="D323" s="5"/>
      <c r="E323" s="26"/>
      <c r="F323" s="20"/>
      <c r="G323" s="20"/>
      <c r="H323" s="5"/>
      <c r="I323" s="24"/>
      <c r="J323" s="24"/>
      <c r="K323" s="24"/>
    </row>
    <row r="324" spans="1:11" x14ac:dyDescent="0.25">
      <c r="A324" s="6"/>
      <c r="B324" s="6"/>
      <c r="C324" s="25"/>
      <c r="D324" s="5"/>
      <c r="E324" s="26"/>
      <c r="F324" s="20"/>
      <c r="G324" s="20"/>
      <c r="H324" s="5"/>
      <c r="I324" s="24"/>
      <c r="J324" s="24"/>
      <c r="K324" s="24"/>
    </row>
    <row r="325" spans="1:11" x14ac:dyDescent="0.25">
      <c r="A325" s="6"/>
      <c r="B325" s="6"/>
      <c r="C325" s="25"/>
      <c r="D325" s="5"/>
      <c r="E325" s="26"/>
      <c r="F325" s="20"/>
      <c r="G325" s="20"/>
      <c r="H325" s="5"/>
      <c r="I325" s="24"/>
      <c r="J325" s="24"/>
      <c r="K325" s="24"/>
    </row>
    <row r="326" spans="1:11" x14ac:dyDescent="0.25">
      <c r="A326" s="6"/>
      <c r="B326" s="6"/>
      <c r="C326" s="25"/>
      <c r="D326" s="5"/>
      <c r="E326" s="26"/>
      <c r="F326" s="20"/>
      <c r="G326" s="20"/>
      <c r="H326" s="5"/>
      <c r="I326" s="24"/>
      <c r="J326" s="24"/>
      <c r="K326" s="24"/>
    </row>
    <row r="327" spans="1:11" x14ac:dyDescent="0.25">
      <c r="A327" s="6"/>
      <c r="B327" s="6"/>
      <c r="C327" s="25"/>
      <c r="D327" s="5"/>
      <c r="E327" s="26"/>
      <c r="F327" s="20"/>
      <c r="G327" s="20"/>
      <c r="H327" s="5"/>
      <c r="I327" s="24"/>
      <c r="J327" s="24"/>
      <c r="K327" s="24"/>
    </row>
    <row r="328" spans="1:11" x14ac:dyDescent="0.25">
      <c r="A328" s="6"/>
      <c r="B328" s="6"/>
      <c r="C328" s="25"/>
      <c r="D328" s="5"/>
      <c r="E328" s="26"/>
      <c r="F328" s="20"/>
      <c r="G328" s="20"/>
      <c r="H328" s="5"/>
      <c r="I328" s="24"/>
      <c r="J328" s="24"/>
      <c r="K328" s="24"/>
    </row>
    <row r="329" spans="1:11" x14ac:dyDescent="0.25">
      <c r="A329" s="6"/>
      <c r="B329" s="6"/>
      <c r="C329" s="25"/>
      <c r="D329" s="5"/>
      <c r="E329" s="26"/>
      <c r="F329" s="20"/>
      <c r="G329" s="20"/>
      <c r="H329" s="5"/>
      <c r="I329" s="24"/>
      <c r="J329" s="24"/>
      <c r="K329" s="24"/>
    </row>
    <row r="330" spans="1:11" x14ac:dyDescent="0.25">
      <c r="A330" s="6"/>
      <c r="B330" s="6"/>
      <c r="C330" s="25"/>
      <c r="D330" s="5"/>
      <c r="E330" s="26"/>
      <c r="F330" s="20"/>
      <c r="G330" s="20"/>
      <c r="H330" s="5"/>
      <c r="I330" s="24"/>
      <c r="J330" s="24"/>
      <c r="K330" s="24"/>
    </row>
    <row r="331" spans="1:11" x14ac:dyDescent="0.25">
      <c r="A331" s="6"/>
      <c r="B331" s="6"/>
      <c r="C331" s="25"/>
      <c r="D331" s="5"/>
      <c r="E331" s="26"/>
      <c r="F331" s="20"/>
      <c r="G331" s="20"/>
      <c r="H331" s="5"/>
      <c r="I331" s="24"/>
      <c r="J331" s="24"/>
      <c r="K331" s="24"/>
    </row>
    <row r="332" spans="1:11" x14ac:dyDescent="0.25">
      <c r="A332" s="6"/>
      <c r="B332" s="6"/>
      <c r="C332" s="25"/>
      <c r="D332" s="5"/>
      <c r="E332" s="26"/>
      <c r="F332" s="20"/>
      <c r="G332" s="20"/>
      <c r="H332" s="5"/>
      <c r="I332" s="24"/>
      <c r="J332" s="24"/>
      <c r="K332" s="24"/>
    </row>
    <row r="333" spans="1:11" x14ac:dyDescent="0.25">
      <c r="A333" s="6"/>
      <c r="B333" s="6"/>
      <c r="C333" s="25"/>
      <c r="D333" s="5"/>
      <c r="E333" s="26"/>
      <c r="F333" s="20"/>
      <c r="G333" s="20"/>
      <c r="H333" s="5"/>
      <c r="I333" s="24"/>
      <c r="J333" s="24"/>
      <c r="K333" s="24"/>
    </row>
    <row r="334" spans="1:11" x14ac:dyDescent="0.25">
      <c r="A334" s="6"/>
      <c r="B334" s="6"/>
      <c r="C334" s="25"/>
      <c r="D334" s="5"/>
      <c r="E334" s="26"/>
      <c r="F334" s="20"/>
      <c r="G334" s="20"/>
      <c r="H334" s="5"/>
      <c r="I334" s="24"/>
      <c r="J334" s="24"/>
      <c r="K334" s="24"/>
    </row>
    <row r="335" spans="1:11" x14ac:dyDescent="0.25">
      <c r="A335" s="6"/>
      <c r="B335" s="6"/>
      <c r="C335" s="25"/>
      <c r="D335" s="5"/>
      <c r="E335" s="26"/>
      <c r="F335" s="20"/>
      <c r="G335" s="20"/>
      <c r="H335" s="5"/>
      <c r="I335" s="24"/>
      <c r="J335" s="24"/>
      <c r="K335" s="24"/>
    </row>
    <row r="336" spans="1:11" x14ac:dyDescent="0.25">
      <c r="A336" s="6"/>
      <c r="B336" s="6"/>
      <c r="C336" s="25"/>
      <c r="D336" s="5"/>
      <c r="E336" s="26"/>
      <c r="F336" s="20"/>
      <c r="G336" s="20"/>
      <c r="H336" s="5"/>
      <c r="I336" s="24"/>
      <c r="J336" s="24"/>
      <c r="K336" s="24"/>
    </row>
    <row r="337" spans="1:11" x14ac:dyDescent="0.25">
      <c r="A337" s="6"/>
      <c r="B337" s="6"/>
      <c r="C337" s="25"/>
      <c r="D337" s="5"/>
      <c r="E337" s="26"/>
      <c r="F337" s="20"/>
      <c r="G337" s="20"/>
      <c r="H337" s="5"/>
      <c r="I337" s="24"/>
      <c r="J337" s="24"/>
      <c r="K337" s="24"/>
    </row>
    <row r="338" spans="1:11" x14ac:dyDescent="0.25">
      <c r="A338" s="6"/>
      <c r="B338" s="6"/>
      <c r="C338" s="25"/>
      <c r="D338" s="5"/>
      <c r="E338" s="26"/>
      <c r="F338" s="20"/>
      <c r="G338" s="20"/>
      <c r="H338" s="5"/>
      <c r="I338" s="24"/>
      <c r="J338" s="24"/>
      <c r="K338" s="24"/>
    </row>
    <row r="339" spans="1:11" x14ac:dyDescent="0.25">
      <c r="A339" s="6"/>
      <c r="B339" s="6"/>
      <c r="C339" s="25"/>
      <c r="D339" s="5"/>
      <c r="E339" s="26"/>
      <c r="F339" s="20"/>
      <c r="G339" s="20"/>
      <c r="H339" s="5"/>
      <c r="I339" s="24"/>
      <c r="J339" s="24"/>
      <c r="K339" s="24"/>
    </row>
    <row r="340" spans="1:11" x14ac:dyDescent="0.25">
      <c r="A340" s="6"/>
      <c r="B340" s="6"/>
      <c r="C340" s="25"/>
      <c r="D340" s="5"/>
      <c r="E340" s="26"/>
      <c r="F340" s="20"/>
      <c r="G340" s="20"/>
      <c r="H340" s="5"/>
      <c r="I340" s="24"/>
      <c r="J340" s="24"/>
      <c r="K340" s="24"/>
    </row>
    <row r="341" spans="1:11" x14ac:dyDescent="0.25">
      <c r="A341" s="6"/>
      <c r="B341" s="6"/>
      <c r="C341" s="25"/>
      <c r="D341" s="5"/>
      <c r="E341" s="26"/>
      <c r="F341" s="20"/>
      <c r="G341" s="20"/>
      <c r="H341" s="5"/>
      <c r="I341" s="24"/>
      <c r="J341" s="24"/>
      <c r="K341" s="24"/>
    </row>
    <row r="342" spans="1:11" x14ac:dyDescent="0.25">
      <c r="A342" s="6"/>
      <c r="B342" s="6"/>
      <c r="C342" s="25"/>
      <c r="D342" s="5"/>
      <c r="E342" s="26"/>
      <c r="F342" s="20"/>
      <c r="G342" s="20"/>
      <c r="H342" s="5"/>
      <c r="I342" s="24"/>
      <c r="J342" s="24"/>
      <c r="K342" s="24"/>
    </row>
    <row r="343" spans="1:11" x14ac:dyDescent="0.25">
      <c r="A343" s="6"/>
      <c r="B343" s="6"/>
      <c r="C343" s="25"/>
      <c r="D343" s="5"/>
      <c r="E343" s="26"/>
      <c r="F343" s="20"/>
      <c r="G343" s="20"/>
      <c r="H343" s="5"/>
      <c r="I343" s="24"/>
      <c r="J343" s="24"/>
      <c r="K343" s="24"/>
    </row>
    <row r="344" spans="1:11" x14ac:dyDescent="0.25">
      <c r="A344" s="6"/>
      <c r="B344" s="6"/>
      <c r="C344" s="25"/>
      <c r="D344" s="5"/>
      <c r="E344" s="26"/>
      <c r="F344" s="20"/>
      <c r="G344" s="20"/>
      <c r="H344" s="5"/>
      <c r="I344" s="24"/>
      <c r="J344" s="24"/>
      <c r="K344" s="24"/>
    </row>
    <row r="345" spans="1:11" x14ac:dyDescent="0.25">
      <c r="A345" s="6"/>
      <c r="B345" s="6"/>
      <c r="C345" s="25"/>
      <c r="D345" s="5"/>
      <c r="E345" s="26"/>
      <c r="F345" s="20"/>
      <c r="G345" s="20"/>
      <c r="H345" s="5"/>
      <c r="I345" s="24"/>
      <c r="J345" s="24"/>
      <c r="K345" s="24"/>
    </row>
    <row r="346" spans="1:11" x14ac:dyDescent="0.25">
      <c r="A346" s="6"/>
      <c r="B346" s="6"/>
      <c r="C346" s="25"/>
      <c r="D346" s="5"/>
      <c r="E346" s="26"/>
      <c r="F346" s="20"/>
      <c r="G346" s="20"/>
      <c r="H346" s="5"/>
      <c r="I346" s="24"/>
      <c r="J346" s="24"/>
      <c r="K346" s="24"/>
    </row>
    <row r="347" spans="1:11" x14ac:dyDescent="0.25">
      <c r="A347" s="6"/>
      <c r="B347" s="6"/>
      <c r="C347" s="25"/>
      <c r="D347" s="5"/>
      <c r="E347" s="26"/>
      <c r="F347" s="20"/>
      <c r="G347" s="20"/>
      <c r="H347" s="5"/>
      <c r="I347" s="24"/>
      <c r="J347" s="24"/>
      <c r="K347" s="24"/>
    </row>
    <row r="348" spans="1:11" x14ac:dyDescent="0.25">
      <c r="A348" s="6"/>
      <c r="B348" s="6"/>
      <c r="C348" s="25"/>
      <c r="D348" s="5"/>
      <c r="E348" s="26"/>
      <c r="F348" s="20"/>
      <c r="G348" s="20"/>
      <c r="H348" s="5"/>
      <c r="I348" s="24"/>
      <c r="J348" s="24"/>
      <c r="K348" s="24"/>
    </row>
    <row r="349" spans="1:11" x14ac:dyDescent="0.25">
      <c r="A349" s="6"/>
      <c r="B349" s="6"/>
      <c r="C349" s="25"/>
      <c r="D349" s="5"/>
      <c r="E349" s="26"/>
      <c r="F349" s="20"/>
      <c r="G349" s="20"/>
      <c r="H349" s="5"/>
      <c r="I349" s="24"/>
      <c r="J349" s="24"/>
      <c r="K349" s="24"/>
    </row>
    <row r="350" spans="1:11" x14ac:dyDescent="0.25">
      <c r="A350" s="6"/>
      <c r="B350" s="6"/>
      <c r="C350" s="25"/>
      <c r="D350" s="5"/>
      <c r="E350" s="26"/>
      <c r="F350" s="20"/>
      <c r="G350" s="20"/>
      <c r="H350" s="5"/>
      <c r="I350" s="24"/>
      <c r="J350" s="24"/>
      <c r="K350" s="24"/>
    </row>
    <row r="351" spans="1:11" x14ac:dyDescent="0.25">
      <c r="A351" s="6"/>
      <c r="B351" s="6"/>
      <c r="C351" s="25"/>
      <c r="D351" s="5"/>
      <c r="E351" s="26"/>
      <c r="F351" s="20"/>
      <c r="G351" s="20"/>
      <c r="H351" s="5"/>
      <c r="I351" s="24"/>
      <c r="J351" s="24"/>
      <c r="K351" s="24"/>
    </row>
    <row r="352" spans="1:11" x14ac:dyDescent="0.25">
      <c r="A352" s="6"/>
      <c r="B352" s="6"/>
      <c r="C352" s="25"/>
      <c r="D352" s="5"/>
      <c r="E352" s="26"/>
      <c r="F352" s="20"/>
      <c r="G352" s="20"/>
      <c r="H352" s="5"/>
      <c r="I352" s="24"/>
      <c r="J352" s="24"/>
      <c r="K352" s="24"/>
    </row>
    <row r="353" spans="1:11" x14ac:dyDescent="0.25">
      <c r="A353" s="6"/>
      <c r="B353" s="6"/>
      <c r="C353" s="25"/>
      <c r="D353" s="5"/>
      <c r="E353" s="26"/>
      <c r="F353" s="20"/>
      <c r="G353" s="20"/>
      <c r="H353" s="5"/>
      <c r="I353" s="24"/>
      <c r="J353" s="24"/>
      <c r="K353" s="24"/>
    </row>
    <row r="354" spans="1:11" x14ac:dyDescent="0.25">
      <c r="A354" s="6"/>
      <c r="B354" s="6"/>
      <c r="C354" s="25"/>
      <c r="D354" s="5"/>
      <c r="E354" s="26"/>
      <c r="F354" s="20"/>
      <c r="G354" s="20"/>
      <c r="H354" s="5"/>
      <c r="I354" s="24"/>
      <c r="J354" s="24"/>
      <c r="K354" s="24"/>
    </row>
    <row r="355" spans="1:11" x14ac:dyDescent="0.25">
      <c r="A355" s="6"/>
      <c r="B355" s="6"/>
      <c r="C355" s="25"/>
      <c r="D355" s="5"/>
      <c r="E355" s="26"/>
      <c r="F355" s="20"/>
      <c r="G355" s="20"/>
      <c r="H355" s="5"/>
      <c r="I355" s="24"/>
      <c r="J355" s="24"/>
      <c r="K355" s="24"/>
    </row>
    <row r="356" spans="1:11" x14ac:dyDescent="0.25">
      <c r="A356" s="6"/>
      <c r="B356" s="6"/>
      <c r="C356" s="25"/>
      <c r="D356" s="5"/>
      <c r="E356" s="26"/>
      <c r="F356" s="20"/>
      <c r="G356" s="20"/>
      <c r="H356" s="5"/>
      <c r="I356" s="24"/>
      <c r="J356" s="24"/>
      <c r="K356" s="24"/>
    </row>
    <row r="357" spans="1:11" x14ac:dyDescent="0.25">
      <c r="A357" s="6"/>
      <c r="B357" s="6"/>
      <c r="C357" s="25"/>
      <c r="D357" s="5"/>
      <c r="E357" s="26"/>
      <c r="F357" s="20"/>
      <c r="G357" s="20"/>
      <c r="H357" s="5"/>
      <c r="I357" s="24"/>
      <c r="J357" s="24"/>
      <c r="K357" s="24"/>
    </row>
    <row r="358" spans="1:11" x14ac:dyDescent="0.25">
      <c r="A358" s="6"/>
      <c r="B358" s="6"/>
      <c r="C358" s="25"/>
      <c r="D358" s="5"/>
      <c r="E358" s="26"/>
      <c r="F358" s="20"/>
      <c r="G358" s="20"/>
      <c r="H358" s="5"/>
      <c r="I358" s="24"/>
      <c r="J358" s="24"/>
      <c r="K358" s="24"/>
    </row>
    <row r="359" spans="1:11" x14ac:dyDescent="0.25">
      <c r="A359" s="6"/>
      <c r="B359" s="6"/>
      <c r="C359" s="25"/>
      <c r="D359" s="5"/>
      <c r="E359" s="26"/>
      <c r="F359" s="20"/>
      <c r="G359" s="20"/>
      <c r="H359" s="5"/>
      <c r="I359" s="24"/>
      <c r="J359" s="24"/>
      <c r="K359" s="24"/>
    </row>
    <row r="360" spans="1:11" x14ac:dyDescent="0.25">
      <c r="A360" s="6"/>
      <c r="B360" s="6"/>
      <c r="C360" s="25"/>
      <c r="D360" s="5"/>
      <c r="E360" s="26"/>
      <c r="F360" s="20"/>
      <c r="G360" s="20"/>
      <c r="H360" s="5"/>
      <c r="I360" s="24"/>
      <c r="J360" s="24"/>
      <c r="K360" s="24"/>
    </row>
    <row r="361" spans="1:11" x14ac:dyDescent="0.25">
      <c r="A361" s="6"/>
      <c r="B361" s="6"/>
      <c r="C361" s="25"/>
      <c r="D361" s="5"/>
      <c r="E361" s="26"/>
      <c r="F361" s="20"/>
      <c r="G361" s="20"/>
      <c r="H361" s="5"/>
      <c r="I361" s="24"/>
      <c r="J361" s="24"/>
      <c r="K361" s="24"/>
    </row>
    <row r="362" spans="1:11" x14ac:dyDescent="0.25">
      <c r="A362" s="6"/>
      <c r="B362" s="6"/>
      <c r="C362" s="25"/>
      <c r="D362" s="5"/>
      <c r="E362" s="26"/>
      <c r="F362" s="20"/>
      <c r="G362" s="20"/>
      <c r="H362" s="5"/>
      <c r="I362" s="24"/>
      <c r="J362" s="24"/>
      <c r="K362" s="24"/>
    </row>
    <row r="363" spans="1:11" x14ac:dyDescent="0.25">
      <c r="A363" s="6"/>
      <c r="B363" s="6"/>
      <c r="C363" s="25"/>
      <c r="D363" s="5"/>
      <c r="E363" s="26"/>
      <c r="F363" s="20"/>
      <c r="G363" s="20"/>
      <c r="H363" s="5"/>
      <c r="I363" s="24"/>
      <c r="J363" s="24"/>
      <c r="K363" s="24"/>
    </row>
    <row r="364" spans="1:11" x14ac:dyDescent="0.25">
      <c r="A364" s="6"/>
      <c r="B364" s="6"/>
      <c r="C364" s="25"/>
      <c r="D364" s="5"/>
      <c r="E364" s="26"/>
      <c r="F364" s="20"/>
      <c r="G364" s="20"/>
      <c r="H364" s="5"/>
      <c r="I364" s="24"/>
      <c r="J364" s="24"/>
      <c r="K364" s="24"/>
    </row>
    <row r="365" spans="1:11" x14ac:dyDescent="0.25">
      <c r="A365" s="6"/>
      <c r="B365" s="6"/>
      <c r="C365" s="25"/>
      <c r="D365" s="5"/>
      <c r="E365" s="26"/>
      <c r="F365" s="20"/>
      <c r="G365" s="20"/>
      <c r="H365" s="5"/>
      <c r="I365" s="24"/>
      <c r="J365" s="24"/>
      <c r="K365" s="24"/>
    </row>
    <row r="366" spans="1:11" x14ac:dyDescent="0.25">
      <c r="A366" s="6"/>
      <c r="B366" s="6"/>
      <c r="C366" s="25"/>
      <c r="D366" s="5"/>
      <c r="E366" s="26"/>
      <c r="F366" s="20"/>
      <c r="G366" s="20"/>
      <c r="H366" s="5"/>
      <c r="I366" s="24"/>
      <c r="J366" s="24"/>
      <c r="K366" s="24"/>
    </row>
    <row r="367" spans="1:11" x14ac:dyDescent="0.25">
      <c r="A367" s="6"/>
      <c r="B367" s="6"/>
      <c r="C367" s="25"/>
      <c r="D367" s="5"/>
      <c r="E367" s="26"/>
      <c r="F367" s="20"/>
      <c r="G367" s="20"/>
      <c r="H367" s="5"/>
      <c r="I367" s="24"/>
      <c r="J367" s="24"/>
      <c r="K367" s="24"/>
    </row>
    <row r="368" spans="1:11" x14ac:dyDescent="0.25">
      <c r="A368" s="6"/>
      <c r="B368" s="6"/>
      <c r="C368" s="25"/>
      <c r="D368" s="5"/>
      <c r="E368" s="26"/>
      <c r="F368" s="20"/>
      <c r="G368" s="20"/>
      <c r="H368" s="5"/>
      <c r="I368" s="24"/>
      <c r="J368" s="24"/>
      <c r="K368" s="24"/>
    </row>
    <row r="369" spans="1:11" x14ac:dyDescent="0.25">
      <c r="A369" s="6"/>
      <c r="B369" s="6"/>
      <c r="C369" s="25"/>
      <c r="D369" s="5"/>
      <c r="E369" s="26"/>
      <c r="F369" s="20"/>
      <c r="G369" s="20"/>
      <c r="H369" s="5"/>
      <c r="I369" s="24"/>
      <c r="J369" s="24"/>
      <c r="K369" s="24"/>
    </row>
    <row r="370" spans="1:11" x14ac:dyDescent="0.25">
      <c r="A370" s="6"/>
      <c r="B370" s="6"/>
      <c r="C370" s="25"/>
      <c r="D370" s="5"/>
      <c r="E370" s="26"/>
      <c r="F370" s="20"/>
      <c r="G370" s="20"/>
      <c r="H370" s="5"/>
      <c r="I370" s="24"/>
      <c r="J370" s="24"/>
      <c r="K370" s="24"/>
    </row>
    <row r="371" spans="1:11" x14ac:dyDescent="0.25">
      <c r="A371" s="6"/>
      <c r="B371" s="6"/>
      <c r="C371" s="25"/>
      <c r="D371" s="5"/>
      <c r="E371" s="26"/>
      <c r="F371" s="20"/>
      <c r="G371" s="20"/>
      <c r="H371" s="5"/>
      <c r="I371" s="24"/>
      <c r="J371" s="24"/>
      <c r="K371" s="24"/>
    </row>
    <row r="372" spans="1:11" x14ac:dyDescent="0.25">
      <c r="A372" s="6"/>
      <c r="B372" s="6"/>
      <c r="C372" s="25"/>
      <c r="D372" s="5"/>
      <c r="E372" s="26"/>
      <c r="F372" s="20"/>
      <c r="G372" s="20"/>
      <c r="H372" s="5"/>
      <c r="I372" s="24"/>
      <c r="J372" s="24"/>
      <c r="K372" s="24"/>
    </row>
    <row r="373" spans="1:11" x14ac:dyDescent="0.25">
      <c r="A373" s="6"/>
      <c r="B373" s="6"/>
      <c r="C373" s="25"/>
      <c r="D373" s="5"/>
      <c r="E373" s="26"/>
      <c r="F373" s="20"/>
      <c r="G373" s="20"/>
      <c r="H373" s="5"/>
      <c r="I373" s="24"/>
      <c r="J373" s="24"/>
      <c r="K373" s="24"/>
    </row>
    <row r="374" spans="1:11" x14ac:dyDescent="0.25">
      <c r="A374" s="6"/>
      <c r="B374" s="6"/>
      <c r="C374" s="25"/>
      <c r="D374" s="5"/>
      <c r="E374" s="26"/>
      <c r="F374" s="20"/>
      <c r="G374" s="20"/>
      <c r="H374" s="5"/>
      <c r="I374" s="24"/>
      <c r="J374" s="24"/>
      <c r="K374" s="24"/>
    </row>
    <row r="375" spans="1:11" x14ac:dyDescent="0.25">
      <c r="A375" s="6"/>
      <c r="B375" s="6"/>
      <c r="C375" s="25"/>
      <c r="D375" s="5"/>
      <c r="E375" s="26"/>
      <c r="F375" s="20"/>
      <c r="G375" s="20"/>
      <c r="H375" s="5"/>
      <c r="I375" s="24"/>
      <c r="J375" s="24"/>
      <c r="K375" s="24"/>
    </row>
    <row r="376" spans="1:11" x14ac:dyDescent="0.25">
      <c r="A376" s="6"/>
      <c r="B376" s="6"/>
      <c r="C376" s="25"/>
      <c r="D376" s="5"/>
      <c r="E376" s="26"/>
      <c r="F376" s="20"/>
      <c r="G376" s="20"/>
      <c r="H376" s="5"/>
      <c r="I376" s="24"/>
      <c r="J376" s="24"/>
      <c r="K376" s="24"/>
    </row>
    <row r="377" spans="1:11" x14ac:dyDescent="0.25">
      <c r="A377" s="6"/>
      <c r="B377" s="6"/>
      <c r="C377" s="25"/>
      <c r="D377" s="5"/>
      <c r="E377" s="26"/>
      <c r="F377" s="20"/>
      <c r="G377" s="20"/>
      <c r="H377" s="5"/>
      <c r="I377" s="24"/>
      <c r="J377" s="24"/>
      <c r="K377" s="24"/>
    </row>
    <row r="378" spans="1:11" x14ac:dyDescent="0.25">
      <c r="A378" s="6"/>
      <c r="B378" s="6"/>
      <c r="C378" s="25"/>
      <c r="D378" s="5"/>
      <c r="E378" s="26"/>
      <c r="F378" s="20"/>
      <c r="G378" s="20"/>
      <c r="H378" s="5"/>
      <c r="I378" s="24"/>
      <c r="J378" s="24"/>
      <c r="K378" s="24"/>
    </row>
    <row r="379" spans="1:11" x14ac:dyDescent="0.25">
      <c r="A379" s="6"/>
      <c r="B379" s="6"/>
      <c r="C379" s="25"/>
      <c r="D379" s="5"/>
      <c r="E379" s="26"/>
      <c r="F379" s="20"/>
      <c r="G379" s="20"/>
      <c r="H379" s="5"/>
      <c r="I379" s="24"/>
      <c r="J379" s="24"/>
      <c r="K379" s="24"/>
    </row>
    <row r="380" spans="1:11" x14ac:dyDescent="0.25">
      <c r="A380" s="6"/>
      <c r="B380" s="6"/>
      <c r="C380" s="25"/>
      <c r="D380" s="5"/>
      <c r="E380" s="26"/>
      <c r="F380" s="20"/>
      <c r="G380" s="20"/>
      <c r="H380" s="5"/>
      <c r="I380" s="24"/>
      <c r="J380" s="24"/>
      <c r="K380" s="24"/>
    </row>
    <row r="381" spans="1:11" x14ac:dyDescent="0.25">
      <c r="A381" s="6"/>
      <c r="B381" s="6"/>
      <c r="C381" s="25"/>
      <c r="D381" s="5"/>
      <c r="E381" s="26"/>
      <c r="F381" s="20"/>
      <c r="G381" s="20"/>
      <c r="H381" s="5"/>
      <c r="I381" s="24"/>
      <c r="J381" s="24"/>
      <c r="K381" s="24"/>
    </row>
    <row r="382" spans="1:11" x14ac:dyDescent="0.25">
      <c r="A382" s="6"/>
      <c r="B382" s="6"/>
      <c r="C382" s="25"/>
      <c r="D382" s="5"/>
      <c r="E382" s="26"/>
      <c r="F382" s="20"/>
      <c r="G382" s="20"/>
      <c r="H382" s="5"/>
      <c r="I382" s="24"/>
      <c r="J382" s="24"/>
      <c r="K382" s="24"/>
    </row>
    <row r="383" spans="1:11" x14ac:dyDescent="0.25">
      <c r="A383" s="6"/>
      <c r="B383" s="6"/>
      <c r="C383" s="25"/>
      <c r="D383" s="5"/>
      <c r="E383" s="26"/>
      <c r="F383" s="20"/>
      <c r="G383" s="20"/>
      <c r="H383" s="5"/>
      <c r="I383" s="24"/>
      <c r="J383" s="24"/>
      <c r="K383" s="24"/>
    </row>
    <row r="384" spans="1:11" x14ac:dyDescent="0.25">
      <c r="A384" s="6"/>
      <c r="B384" s="6"/>
      <c r="C384" s="25"/>
      <c r="D384" s="5"/>
      <c r="E384" s="26"/>
      <c r="F384" s="20"/>
      <c r="G384" s="20"/>
      <c r="H384" s="5"/>
      <c r="I384" s="24"/>
      <c r="J384" s="24"/>
      <c r="K384" s="24"/>
    </row>
    <row r="385" spans="1:11" x14ac:dyDescent="0.25">
      <c r="A385" s="6"/>
      <c r="B385" s="6"/>
      <c r="C385" s="25"/>
      <c r="D385" s="5"/>
      <c r="E385" s="26"/>
      <c r="F385" s="20"/>
      <c r="G385" s="20"/>
      <c r="H385" s="5"/>
      <c r="I385" s="24"/>
      <c r="J385" s="24"/>
      <c r="K385" s="24"/>
    </row>
    <row r="386" spans="1:11" x14ac:dyDescent="0.25">
      <c r="A386" s="6"/>
      <c r="B386" s="6"/>
      <c r="C386" s="25"/>
      <c r="D386" s="5"/>
      <c r="E386" s="26"/>
      <c r="F386" s="20"/>
      <c r="G386" s="20"/>
      <c r="H386" s="5"/>
      <c r="I386" s="24"/>
      <c r="J386" s="24"/>
      <c r="K386" s="24"/>
    </row>
    <row r="387" spans="1:11" x14ac:dyDescent="0.25">
      <c r="A387" s="6"/>
      <c r="B387" s="6"/>
      <c r="C387" s="25"/>
      <c r="D387" s="5"/>
      <c r="E387" s="26"/>
      <c r="F387" s="20"/>
      <c r="G387" s="20"/>
      <c r="H387" s="5"/>
      <c r="I387" s="24"/>
      <c r="J387" s="24"/>
      <c r="K387" s="24"/>
    </row>
    <row r="388" spans="1:11" x14ac:dyDescent="0.25">
      <c r="A388" s="6"/>
      <c r="B388" s="6"/>
      <c r="C388" s="25"/>
      <c r="D388" s="5"/>
      <c r="E388" s="26"/>
      <c r="F388" s="20"/>
      <c r="G388" s="20"/>
      <c r="H388" s="5"/>
      <c r="I388" s="24"/>
      <c r="J388" s="24"/>
      <c r="K388" s="24"/>
    </row>
    <row r="389" spans="1:11" x14ac:dyDescent="0.25">
      <c r="A389" s="6"/>
      <c r="B389" s="6"/>
      <c r="C389" s="25"/>
      <c r="D389" s="5"/>
      <c r="E389" s="26"/>
      <c r="F389" s="20"/>
      <c r="G389" s="20"/>
      <c r="H389" s="5"/>
      <c r="I389" s="24"/>
      <c r="J389" s="24"/>
      <c r="K389" s="24"/>
    </row>
    <row r="390" spans="1:11" x14ac:dyDescent="0.25">
      <c r="A390" s="6"/>
      <c r="B390" s="6"/>
      <c r="C390" s="25"/>
      <c r="D390" s="5"/>
      <c r="E390" s="26"/>
      <c r="F390" s="20"/>
      <c r="G390" s="20"/>
      <c r="H390" s="5"/>
      <c r="I390" s="24"/>
      <c r="J390" s="24"/>
      <c r="K390" s="24"/>
    </row>
    <row r="391" spans="1:11" x14ac:dyDescent="0.25">
      <c r="A391" s="6"/>
      <c r="B391" s="6"/>
      <c r="C391" s="25"/>
      <c r="D391" s="5"/>
      <c r="E391" s="26"/>
      <c r="F391" s="20"/>
      <c r="G391" s="20"/>
      <c r="H391" s="5"/>
      <c r="I391" s="24"/>
      <c r="J391" s="24"/>
      <c r="K391" s="24"/>
    </row>
    <row r="392" spans="1:11" x14ac:dyDescent="0.25">
      <c r="A392" s="6"/>
      <c r="B392" s="6"/>
      <c r="C392" s="27"/>
      <c r="D392" s="5"/>
      <c r="E392" s="26"/>
      <c r="F392" s="20"/>
      <c r="G392" s="20"/>
      <c r="H392" s="20"/>
      <c r="I392" s="24"/>
      <c r="J392" s="24"/>
      <c r="K392" s="24"/>
    </row>
    <row r="393" spans="1:11" x14ac:dyDescent="0.25">
      <c r="A393" s="6"/>
      <c r="B393" s="6"/>
      <c r="C393" s="27"/>
      <c r="D393" s="5"/>
      <c r="E393" s="26"/>
      <c r="F393" s="20"/>
      <c r="G393" s="20"/>
      <c r="H393" s="20"/>
      <c r="I393" s="24"/>
      <c r="J393" s="24"/>
      <c r="K393" s="24"/>
    </row>
    <row r="394" spans="1:11" x14ac:dyDescent="0.25">
      <c r="A394" s="6"/>
      <c r="B394" s="6"/>
      <c r="C394" s="27"/>
      <c r="D394" s="5"/>
      <c r="E394" s="26"/>
      <c r="F394" s="20"/>
      <c r="G394" s="20"/>
      <c r="H394" s="20"/>
      <c r="I394" s="24"/>
      <c r="J394" s="24"/>
      <c r="K394" s="24"/>
    </row>
    <row r="395" spans="1:11" x14ac:dyDescent="0.25">
      <c r="A395" s="6"/>
      <c r="B395" s="6"/>
      <c r="C395" s="27"/>
      <c r="D395" s="5"/>
      <c r="E395" s="26"/>
      <c r="F395" s="20"/>
      <c r="G395" s="20"/>
      <c r="H395" s="20"/>
      <c r="I395" s="24"/>
      <c r="J395" s="24"/>
      <c r="K395" s="24"/>
    </row>
    <row r="396" spans="1:11" x14ac:dyDescent="0.25">
      <c r="A396" s="6"/>
      <c r="B396" s="6"/>
      <c r="C396" s="27"/>
      <c r="D396" s="5"/>
      <c r="E396" s="26"/>
      <c r="F396" s="20"/>
      <c r="G396" s="20"/>
      <c r="H396" s="20"/>
      <c r="I396" s="24"/>
      <c r="J396" s="24"/>
      <c r="K396" s="24"/>
    </row>
    <row r="397" spans="1:11" x14ac:dyDescent="0.25">
      <c r="A397" s="6"/>
      <c r="B397" s="6"/>
      <c r="C397" s="27"/>
      <c r="D397" s="5"/>
      <c r="E397" s="26"/>
      <c r="F397" s="20"/>
      <c r="G397" s="20"/>
      <c r="H397" s="20"/>
      <c r="I397" s="24"/>
      <c r="J397" s="24"/>
      <c r="K397" s="24"/>
    </row>
    <row r="398" spans="1:11" x14ac:dyDescent="0.25">
      <c r="A398" s="6"/>
      <c r="B398" s="6"/>
      <c r="C398" s="27"/>
      <c r="D398" s="5"/>
      <c r="E398" s="26"/>
      <c r="F398" s="20"/>
      <c r="G398" s="20"/>
      <c r="H398" s="20"/>
      <c r="I398" s="24"/>
      <c r="J398" s="24"/>
      <c r="K398" s="24"/>
    </row>
    <row r="399" spans="1:11" x14ac:dyDescent="0.25">
      <c r="A399" s="6"/>
      <c r="B399" s="6"/>
      <c r="C399" s="27"/>
      <c r="D399" s="5"/>
      <c r="E399" s="26"/>
      <c r="F399" s="20"/>
      <c r="G399" s="20"/>
      <c r="H399" s="20"/>
      <c r="I399" s="24"/>
      <c r="J399" s="24"/>
      <c r="K399" s="24"/>
    </row>
    <row r="400" spans="1:11" x14ac:dyDescent="0.25">
      <c r="A400" s="6"/>
      <c r="B400" s="6"/>
      <c r="C400" s="27"/>
      <c r="D400" s="5"/>
      <c r="E400" s="26"/>
      <c r="F400" s="20"/>
      <c r="G400" s="20"/>
      <c r="H400" s="20"/>
      <c r="I400" s="24"/>
      <c r="J400" s="24"/>
      <c r="K400" s="24"/>
    </row>
    <row r="401" spans="1:11" x14ac:dyDescent="0.25">
      <c r="A401" s="6"/>
      <c r="B401" s="6"/>
      <c r="C401" s="27"/>
      <c r="D401" s="5"/>
      <c r="E401" s="26"/>
      <c r="F401" s="20"/>
      <c r="G401" s="20"/>
      <c r="H401" s="20"/>
      <c r="I401" s="24"/>
      <c r="J401" s="24"/>
      <c r="K401" s="24"/>
    </row>
    <row r="402" spans="1:11" x14ac:dyDescent="0.25">
      <c r="A402" s="6"/>
      <c r="B402" s="6"/>
      <c r="C402" s="27"/>
      <c r="D402" s="5"/>
      <c r="E402" s="26"/>
      <c r="F402" s="20"/>
      <c r="G402" s="20"/>
      <c r="H402" s="20"/>
      <c r="I402" s="24"/>
      <c r="J402" s="24"/>
      <c r="K402" s="24"/>
    </row>
    <row r="403" spans="1:11" x14ac:dyDescent="0.25">
      <c r="A403" s="6"/>
      <c r="B403" s="6"/>
      <c r="C403" s="27"/>
      <c r="D403" s="5"/>
      <c r="E403" s="26"/>
      <c r="F403" s="20"/>
      <c r="G403" s="20"/>
      <c r="H403" s="20"/>
      <c r="I403" s="24"/>
      <c r="J403" s="24"/>
      <c r="K403" s="24"/>
    </row>
    <row r="404" spans="1:11" x14ac:dyDescent="0.25">
      <c r="A404" s="6"/>
      <c r="B404" s="6"/>
      <c r="C404" s="27"/>
      <c r="D404" s="5"/>
      <c r="E404" s="26"/>
      <c r="F404" s="20"/>
      <c r="G404" s="20"/>
      <c r="H404" s="20"/>
      <c r="I404" s="24"/>
      <c r="J404" s="24"/>
      <c r="K404" s="24"/>
    </row>
    <row r="405" spans="1:11" x14ac:dyDescent="0.25">
      <c r="A405" s="6"/>
      <c r="B405" s="6"/>
      <c r="C405" s="27"/>
      <c r="D405" s="5"/>
      <c r="E405" s="26"/>
      <c r="F405" s="20"/>
      <c r="G405" s="20"/>
      <c r="H405" s="20"/>
      <c r="I405" s="24"/>
      <c r="J405" s="24"/>
      <c r="K405" s="24"/>
    </row>
    <row r="406" spans="1:11" x14ac:dyDescent="0.25">
      <c r="A406" s="6"/>
      <c r="B406" s="6"/>
      <c r="C406" s="27"/>
      <c r="D406" s="5"/>
      <c r="E406" s="26"/>
      <c r="F406" s="20"/>
      <c r="G406" s="20"/>
      <c r="H406" s="20"/>
      <c r="I406" s="24"/>
      <c r="J406" s="24"/>
      <c r="K406" s="24"/>
    </row>
    <row r="407" spans="1:11" x14ac:dyDescent="0.25">
      <c r="A407" s="6"/>
      <c r="B407" s="6"/>
      <c r="C407" s="27"/>
      <c r="D407" s="5"/>
      <c r="E407" s="26"/>
      <c r="F407" s="20"/>
      <c r="G407" s="20"/>
      <c r="H407" s="20"/>
      <c r="I407" s="24"/>
      <c r="J407" s="24"/>
      <c r="K407" s="24"/>
    </row>
    <row r="408" spans="1:11" x14ac:dyDescent="0.25">
      <c r="A408" s="6"/>
      <c r="B408" s="6"/>
      <c r="C408" s="27"/>
      <c r="D408" s="5"/>
      <c r="E408" s="26"/>
      <c r="F408" s="20"/>
      <c r="G408" s="20"/>
      <c r="H408" s="20"/>
      <c r="I408" s="24"/>
      <c r="J408" s="24"/>
      <c r="K408" s="24"/>
    </row>
    <row r="409" spans="1:11" x14ac:dyDescent="0.25">
      <c r="A409" s="6"/>
      <c r="B409" s="6"/>
      <c r="C409" s="27"/>
      <c r="D409" s="5"/>
      <c r="E409" s="26"/>
      <c r="F409" s="20"/>
      <c r="G409" s="20"/>
      <c r="H409" s="20"/>
      <c r="I409" s="24"/>
      <c r="J409" s="24"/>
      <c r="K409" s="24"/>
    </row>
    <row r="410" spans="1:11" x14ac:dyDescent="0.25">
      <c r="A410" s="6"/>
      <c r="B410" s="6"/>
      <c r="C410" s="27"/>
      <c r="D410" s="5"/>
      <c r="E410" s="26"/>
      <c r="F410" s="20"/>
      <c r="G410" s="20"/>
      <c r="H410" s="20"/>
      <c r="I410" s="24"/>
      <c r="J410" s="24"/>
      <c r="K410" s="24"/>
    </row>
    <row r="411" spans="1:11" x14ac:dyDescent="0.25">
      <c r="A411" s="6"/>
      <c r="B411" s="6"/>
      <c r="C411" s="27"/>
      <c r="D411" s="5"/>
      <c r="E411" s="26"/>
      <c r="F411" s="20"/>
      <c r="G411" s="20"/>
      <c r="H411" s="20"/>
      <c r="I411" s="24"/>
      <c r="J411" s="24"/>
      <c r="K411" s="24"/>
    </row>
    <row r="412" spans="1:11" x14ac:dyDescent="0.25">
      <c r="A412" s="6"/>
      <c r="B412" s="6"/>
      <c r="C412" s="27"/>
      <c r="D412" s="5"/>
      <c r="E412" s="26"/>
      <c r="F412" s="20"/>
      <c r="G412" s="20"/>
      <c r="H412" s="20"/>
      <c r="I412" s="24"/>
      <c r="J412" s="24"/>
      <c r="K412" s="24"/>
    </row>
    <row r="413" spans="1:11" x14ac:dyDescent="0.25">
      <c r="A413" s="6"/>
      <c r="B413" s="6"/>
      <c r="C413" s="27"/>
      <c r="D413" s="5"/>
      <c r="E413" s="26"/>
      <c r="F413" s="20"/>
      <c r="G413" s="20"/>
      <c r="H413" s="20"/>
      <c r="I413" s="24"/>
      <c r="J413" s="24"/>
      <c r="K413" s="24"/>
    </row>
    <row r="414" spans="1:11" x14ac:dyDescent="0.25">
      <c r="A414" s="6"/>
      <c r="B414" s="6"/>
      <c r="C414" s="27"/>
      <c r="D414" s="5"/>
      <c r="E414" s="26"/>
      <c r="F414" s="20"/>
      <c r="G414" s="20"/>
      <c r="H414" s="20"/>
      <c r="I414" s="24"/>
      <c r="J414" s="24"/>
      <c r="K414" s="24"/>
    </row>
    <row r="415" spans="1:11" x14ac:dyDescent="0.25">
      <c r="A415" s="6"/>
      <c r="B415" s="6"/>
      <c r="C415" s="27"/>
      <c r="D415" s="5"/>
      <c r="E415" s="26"/>
      <c r="F415" s="20"/>
      <c r="G415" s="20"/>
      <c r="H415" s="20"/>
      <c r="I415" s="24"/>
      <c r="J415" s="24"/>
      <c r="K415" s="24"/>
    </row>
    <row r="416" spans="1:11" x14ac:dyDescent="0.25">
      <c r="A416" s="6"/>
      <c r="B416" s="6"/>
      <c r="C416" s="27"/>
      <c r="D416" s="5"/>
      <c r="E416" s="26"/>
      <c r="F416" s="20"/>
      <c r="G416" s="20"/>
      <c r="H416" s="20"/>
      <c r="I416" s="24"/>
      <c r="J416" s="24"/>
      <c r="K416" s="24"/>
    </row>
    <row r="417" spans="1:11" x14ac:dyDescent="0.25">
      <c r="A417" s="6"/>
      <c r="B417" s="6"/>
      <c r="C417" s="27"/>
      <c r="D417" s="28"/>
      <c r="E417" s="26"/>
      <c r="F417" s="20"/>
      <c r="G417" s="20"/>
      <c r="H417" s="20"/>
      <c r="I417" s="24"/>
      <c r="J417" s="24"/>
      <c r="K417" s="24"/>
    </row>
    <row r="418" spans="1:11" x14ac:dyDescent="0.25">
      <c r="A418" s="6"/>
      <c r="B418" s="6"/>
      <c r="C418" s="27"/>
      <c r="D418" s="5"/>
      <c r="E418" s="26"/>
      <c r="F418" s="20"/>
      <c r="G418" s="20"/>
      <c r="H418" s="20"/>
      <c r="I418" s="24"/>
      <c r="J418" s="24"/>
      <c r="K418" s="24"/>
    </row>
    <row r="419" spans="1:11" x14ac:dyDescent="0.25">
      <c r="A419" s="6"/>
      <c r="B419" s="6"/>
      <c r="C419" s="27"/>
      <c r="D419" s="28"/>
      <c r="E419" s="26"/>
      <c r="F419" s="20"/>
      <c r="G419" s="20"/>
      <c r="H419" s="20"/>
      <c r="I419" s="24"/>
      <c r="J419" s="24"/>
      <c r="K419" s="24"/>
    </row>
    <row r="420" spans="1:11" x14ac:dyDescent="0.25">
      <c r="A420" s="6"/>
      <c r="B420" s="6"/>
      <c r="C420" s="27"/>
      <c r="D420" s="5"/>
      <c r="E420" s="26"/>
      <c r="F420" s="20"/>
      <c r="G420" s="20"/>
      <c r="H420" s="20"/>
      <c r="I420" s="24"/>
      <c r="J420" s="24"/>
      <c r="K420" s="24"/>
    </row>
    <row r="421" spans="1:11" x14ac:dyDescent="0.25">
      <c r="A421" s="6"/>
      <c r="B421" s="6"/>
      <c r="C421" s="27"/>
      <c r="D421" s="28"/>
      <c r="E421" s="26"/>
      <c r="F421" s="20"/>
      <c r="G421" s="20"/>
      <c r="H421" s="20"/>
      <c r="I421" s="24"/>
      <c r="J421" s="24"/>
      <c r="K421" s="24"/>
    </row>
    <row r="422" spans="1:11" x14ac:dyDescent="0.25">
      <c r="A422" s="6"/>
      <c r="B422" s="6"/>
      <c r="C422" s="27"/>
      <c r="D422" s="5"/>
      <c r="E422" s="26"/>
      <c r="F422" s="20"/>
      <c r="G422" s="20"/>
      <c r="H422" s="20"/>
      <c r="I422" s="24"/>
      <c r="J422" s="24"/>
      <c r="K422" s="24"/>
    </row>
    <row r="423" spans="1:11" x14ac:dyDescent="0.25">
      <c r="A423" s="6"/>
      <c r="B423" s="6"/>
      <c r="C423" s="27"/>
      <c r="D423" s="5"/>
      <c r="E423" s="26"/>
      <c r="F423" s="20"/>
      <c r="G423" s="20"/>
      <c r="H423" s="20"/>
      <c r="I423" s="24"/>
      <c r="J423" s="24"/>
      <c r="K423" s="24"/>
    </row>
    <row r="424" spans="1:11" x14ac:dyDescent="0.25">
      <c r="A424" s="6"/>
      <c r="B424" s="6"/>
      <c r="C424" s="27"/>
      <c r="D424" s="28"/>
      <c r="E424" s="26"/>
      <c r="F424" s="20"/>
      <c r="G424" s="20"/>
      <c r="H424" s="20"/>
      <c r="I424" s="24"/>
      <c r="J424" s="24"/>
      <c r="K424" s="24"/>
    </row>
    <row r="425" spans="1:11" x14ac:dyDescent="0.25">
      <c r="A425" s="6"/>
      <c r="B425" s="6"/>
      <c r="C425" s="27"/>
      <c r="D425" s="28"/>
      <c r="E425" s="26"/>
      <c r="F425" s="20"/>
      <c r="G425" s="20"/>
      <c r="H425" s="20"/>
      <c r="I425" s="24"/>
      <c r="J425" s="24"/>
      <c r="K425" s="24"/>
    </row>
    <row r="426" spans="1:11" x14ac:dyDescent="0.25">
      <c r="A426" s="6"/>
      <c r="B426" s="6"/>
      <c r="C426" s="27"/>
      <c r="D426" s="28"/>
      <c r="E426" s="26"/>
      <c r="F426" s="20"/>
      <c r="G426" s="20"/>
      <c r="H426" s="20"/>
      <c r="I426" s="24"/>
      <c r="J426" s="24"/>
      <c r="K426" s="24"/>
    </row>
    <row r="427" spans="1:11" x14ac:dyDescent="0.25">
      <c r="A427" s="6"/>
      <c r="B427" s="6"/>
      <c r="C427" s="27"/>
      <c r="D427" s="28"/>
      <c r="E427" s="26"/>
      <c r="F427" s="20"/>
      <c r="G427" s="20"/>
      <c r="H427" s="20"/>
      <c r="I427" s="24"/>
      <c r="J427" s="24"/>
      <c r="K427" s="24"/>
    </row>
    <row r="428" spans="1:11" x14ac:dyDescent="0.25">
      <c r="A428" s="6"/>
      <c r="B428" s="6"/>
      <c r="C428" s="27"/>
      <c r="D428" s="28"/>
      <c r="E428" s="26"/>
      <c r="F428" s="20"/>
      <c r="G428" s="20"/>
      <c r="H428" s="20"/>
      <c r="I428" s="24"/>
      <c r="J428" s="24"/>
      <c r="K428" s="24"/>
    </row>
    <row r="429" spans="1:11" x14ac:dyDescent="0.25">
      <c r="A429" s="6"/>
      <c r="B429" s="6"/>
      <c r="C429" s="27"/>
      <c r="D429" s="28"/>
      <c r="E429" s="26"/>
      <c r="F429" s="20"/>
      <c r="G429" s="20"/>
      <c r="H429" s="20"/>
      <c r="I429" s="24"/>
      <c r="J429" s="24"/>
      <c r="K429" s="24"/>
    </row>
    <row r="430" spans="1:11" x14ac:dyDescent="0.25">
      <c r="A430" s="6"/>
      <c r="B430" s="6"/>
      <c r="C430" s="27"/>
      <c r="D430" s="28"/>
      <c r="E430" s="26"/>
      <c r="F430" s="20"/>
      <c r="G430" s="20"/>
      <c r="H430" s="20"/>
      <c r="I430" s="24"/>
      <c r="J430" s="24"/>
      <c r="K430" s="24"/>
    </row>
    <row r="431" spans="1:11" x14ac:dyDescent="0.25">
      <c r="A431" s="6"/>
      <c r="B431" s="6"/>
      <c r="C431" s="27"/>
      <c r="D431" s="28"/>
      <c r="E431" s="26"/>
      <c r="F431" s="20"/>
      <c r="G431" s="20"/>
      <c r="H431" s="20"/>
      <c r="I431" s="24"/>
      <c r="J431" s="24"/>
      <c r="K431" s="24"/>
    </row>
    <row r="432" spans="1:11" x14ac:dyDescent="0.25">
      <c r="A432" s="6"/>
      <c r="B432" s="6"/>
      <c r="C432" s="27"/>
      <c r="D432" s="28"/>
      <c r="E432" s="26"/>
      <c r="F432" s="20"/>
      <c r="G432" s="20"/>
      <c r="H432" s="20"/>
      <c r="I432" s="24"/>
      <c r="J432" s="24"/>
      <c r="K432" s="24"/>
    </row>
    <row r="433" spans="1:11" x14ac:dyDescent="0.25">
      <c r="A433" s="6"/>
      <c r="B433" s="6"/>
      <c r="C433" s="27"/>
      <c r="D433" s="28"/>
      <c r="E433" s="26"/>
      <c r="F433" s="20"/>
      <c r="G433" s="20"/>
      <c r="H433" s="20"/>
      <c r="I433" s="24"/>
      <c r="J433" s="24"/>
      <c r="K433" s="24"/>
    </row>
    <row r="434" spans="1:11" x14ac:dyDescent="0.25">
      <c r="A434" s="6"/>
      <c r="B434" s="6"/>
      <c r="C434" s="27"/>
      <c r="D434" s="5"/>
      <c r="E434" s="26"/>
      <c r="F434" s="20"/>
      <c r="G434" s="20"/>
      <c r="H434" s="20"/>
      <c r="I434" s="24"/>
      <c r="J434" s="24"/>
      <c r="K434" s="24"/>
    </row>
    <row r="435" spans="1:11" x14ac:dyDescent="0.25">
      <c r="A435" s="6"/>
      <c r="B435" s="6"/>
      <c r="C435" s="27"/>
      <c r="D435" s="5"/>
      <c r="E435" s="26"/>
      <c r="F435" s="20"/>
      <c r="G435" s="20"/>
      <c r="H435" s="20"/>
      <c r="I435" s="24"/>
      <c r="J435" s="24"/>
      <c r="K435" s="24"/>
    </row>
    <row r="436" spans="1:11" x14ac:dyDescent="0.25">
      <c r="A436" s="6"/>
      <c r="B436" s="6"/>
      <c r="C436" s="27"/>
      <c r="D436" s="5"/>
      <c r="E436" s="26"/>
      <c r="F436" s="20"/>
      <c r="G436" s="20"/>
      <c r="H436" s="20"/>
      <c r="I436" s="24"/>
      <c r="J436" s="24"/>
      <c r="K436" s="24"/>
    </row>
    <row r="437" spans="1:11" x14ac:dyDescent="0.25">
      <c r="A437" s="6"/>
      <c r="B437" s="6"/>
      <c r="C437" s="27"/>
      <c r="D437" s="28"/>
      <c r="E437" s="26"/>
      <c r="F437" s="20"/>
      <c r="G437" s="20"/>
      <c r="H437" s="20"/>
      <c r="I437" s="24"/>
      <c r="J437" s="24"/>
      <c r="K437" s="24"/>
    </row>
    <row r="438" spans="1:11" x14ac:dyDescent="0.25">
      <c r="A438" s="6"/>
      <c r="B438" s="6"/>
      <c r="C438" s="27"/>
      <c r="D438" s="5"/>
      <c r="E438" s="26"/>
      <c r="F438" s="20"/>
      <c r="G438" s="20"/>
      <c r="H438" s="20"/>
      <c r="I438" s="24"/>
      <c r="J438" s="24"/>
      <c r="K438" s="24"/>
    </row>
    <row r="439" spans="1:11" x14ac:dyDescent="0.25">
      <c r="A439" s="6"/>
      <c r="B439" s="6"/>
      <c r="C439" s="27"/>
      <c r="D439" s="5"/>
      <c r="E439" s="26"/>
      <c r="F439" s="20"/>
      <c r="G439" s="20"/>
      <c r="H439" s="20"/>
      <c r="I439" s="24"/>
      <c r="J439" s="24"/>
      <c r="K439" s="24"/>
    </row>
    <row r="440" spans="1:11" x14ac:dyDescent="0.25">
      <c r="A440" s="6"/>
      <c r="B440" s="6"/>
      <c r="C440" s="27"/>
      <c r="D440" s="5"/>
      <c r="E440" s="26"/>
      <c r="F440" s="20"/>
      <c r="G440" s="20"/>
      <c r="H440" s="20"/>
      <c r="I440" s="24"/>
      <c r="J440" s="24"/>
      <c r="K440" s="24"/>
    </row>
    <row r="441" spans="1:11" x14ac:dyDescent="0.25">
      <c r="A441" s="6"/>
      <c r="B441" s="6"/>
      <c r="C441" s="27"/>
      <c r="D441" s="5"/>
      <c r="E441" s="26"/>
      <c r="F441" s="20"/>
      <c r="G441" s="20"/>
      <c r="H441" s="20"/>
      <c r="I441" s="24"/>
      <c r="J441" s="24"/>
      <c r="K441" s="24"/>
    </row>
    <row r="442" spans="1:11" x14ac:dyDescent="0.25">
      <c r="A442" s="6"/>
      <c r="B442" s="6"/>
      <c r="C442" s="27"/>
      <c r="D442" s="5"/>
      <c r="E442" s="26"/>
      <c r="F442" s="20"/>
      <c r="G442" s="20"/>
      <c r="H442" s="20"/>
      <c r="I442" s="24"/>
      <c r="J442" s="24"/>
      <c r="K442" s="24"/>
    </row>
    <row r="443" spans="1:11" x14ac:dyDescent="0.25">
      <c r="A443" s="6"/>
      <c r="B443" s="6"/>
      <c r="C443" s="27"/>
      <c r="D443" s="5"/>
      <c r="E443" s="26"/>
      <c r="F443" s="20"/>
      <c r="G443" s="20"/>
      <c r="H443" s="20"/>
      <c r="I443" s="24"/>
      <c r="J443" s="24"/>
      <c r="K443" s="24"/>
    </row>
    <row r="444" spans="1:11" x14ac:dyDescent="0.25">
      <c r="A444" s="6"/>
      <c r="B444" s="6"/>
      <c r="C444" s="27"/>
      <c r="D444" s="5"/>
      <c r="E444" s="26"/>
      <c r="F444" s="20"/>
      <c r="G444" s="20"/>
      <c r="H444" s="20"/>
      <c r="I444" s="24"/>
      <c r="J444" s="24"/>
      <c r="K444" s="24"/>
    </row>
    <row r="445" spans="1:11" x14ac:dyDescent="0.25">
      <c r="A445" s="6"/>
      <c r="B445" s="6"/>
      <c r="C445" s="27"/>
      <c r="D445" s="5"/>
      <c r="E445" s="26"/>
      <c r="F445" s="20"/>
      <c r="G445" s="20"/>
      <c r="H445" s="20"/>
      <c r="I445" s="24"/>
      <c r="J445" s="24"/>
      <c r="K445" s="24"/>
    </row>
    <row r="446" spans="1:11" x14ac:dyDescent="0.25">
      <c r="A446" s="6"/>
      <c r="B446" s="6"/>
      <c r="C446" s="27"/>
      <c r="D446" s="5"/>
      <c r="E446" s="26"/>
      <c r="F446" s="20"/>
      <c r="G446" s="20"/>
      <c r="H446" s="20"/>
      <c r="I446" s="24"/>
      <c r="J446" s="24"/>
      <c r="K446" s="24"/>
    </row>
    <row r="447" spans="1:11" x14ac:dyDescent="0.25">
      <c r="A447" s="6"/>
      <c r="B447" s="6"/>
      <c r="C447" s="27"/>
      <c r="D447" s="5"/>
      <c r="E447" s="26"/>
      <c r="F447" s="20"/>
      <c r="G447" s="20"/>
      <c r="H447" s="20"/>
      <c r="I447" s="24"/>
      <c r="J447" s="24"/>
      <c r="K447" s="24"/>
    </row>
    <row r="448" spans="1:11" x14ac:dyDescent="0.25">
      <c r="A448" s="6"/>
      <c r="B448" s="6"/>
      <c r="C448" s="27"/>
      <c r="D448" s="28"/>
      <c r="E448" s="26"/>
      <c r="F448" s="20"/>
      <c r="G448" s="20"/>
      <c r="H448" s="20"/>
      <c r="I448" s="24"/>
      <c r="J448" s="24"/>
      <c r="K448" s="24"/>
    </row>
    <row r="449" spans="1:11" x14ac:dyDescent="0.25">
      <c r="A449" s="6"/>
      <c r="B449" s="6"/>
      <c r="C449" s="27"/>
      <c r="D449" s="28"/>
      <c r="E449" s="26"/>
      <c r="F449" s="20"/>
      <c r="G449" s="20"/>
      <c r="H449" s="20"/>
      <c r="I449" s="24"/>
      <c r="J449" s="24"/>
      <c r="K449" s="24"/>
    </row>
    <row r="450" spans="1:11" x14ac:dyDescent="0.25">
      <c r="A450" s="6"/>
      <c r="B450" s="6"/>
      <c r="C450" s="27"/>
      <c r="D450" s="28"/>
      <c r="E450" s="26"/>
      <c r="F450" s="20"/>
      <c r="G450" s="20"/>
      <c r="H450" s="20"/>
      <c r="I450" s="24"/>
      <c r="J450" s="24"/>
      <c r="K450" s="24"/>
    </row>
    <row r="451" spans="1:11" x14ac:dyDescent="0.25">
      <c r="A451" s="6"/>
      <c r="B451" s="6"/>
      <c r="C451" s="27"/>
      <c r="D451" s="28"/>
      <c r="E451" s="26"/>
      <c r="F451" s="20"/>
      <c r="G451" s="20"/>
      <c r="H451" s="20"/>
      <c r="I451" s="24"/>
      <c r="J451" s="24"/>
      <c r="K451" s="24"/>
    </row>
    <row r="452" spans="1:11" x14ac:dyDescent="0.25">
      <c r="A452" s="6"/>
      <c r="B452" s="6"/>
      <c r="C452" s="27"/>
      <c r="D452" s="28"/>
      <c r="E452" s="26"/>
      <c r="F452" s="20"/>
      <c r="G452" s="20"/>
      <c r="H452" s="20"/>
      <c r="I452" s="24"/>
      <c r="J452" s="24"/>
      <c r="K452" s="24"/>
    </row>
    <row r="453" spans="1:11" x14ac:dyDescent="0.25">
      <c r="A453" s="6"/>
      <c r="B453" s="6"/>
      <c r="C453" s="27"/>
      <c r="D453" s="28"/>
      <c r="E453" s="26"/>
      <c r="F453" s="20"/>
      <c r="G453" s="20"/>
      <c r="H453" s="20"/>
      <c r="I453" s="24"/>
      <c r="J453" s="24"/>
      <c r="K453" s="24"/>
    </row>
    <row r="454" spans="1:11" x14ac:dyDescent="0.25">
      <c r="A454" s="6"/>
      <c r="B454" s="6"/>
      <c r="C454" s="27"/>
      <c r="D454" s="5"/>
      <c r="E454" s="26"/>
      <c r="F454" s="20"/>
      <c r="G454" s="20"/>
      <c r="H454" s="20"/>
      <c r="I454" s="24"/>
      <c r="J454" s="24"/>
      <c r="K454" s="24"/>
    </row>
    <row r="455" spans="1:11" x14ac:dyDescent="0.25">
      <c r="A455" s="6"/>
      <c r="B455" s="6"/>
      <c r="C455" s="27"/>
      <c r="D455" s="28"/>
      <c r="E455" s="26"/>
      <c r="F455" s="20"/>
      <c r="G455" s="20"/>
      <c r="H455" s="20"/>
      <c r="I455" s="24"/>
      <c r="J455" s="24"/>
      <c r="K455" s="24"/>
    </row>
    <row r="456" spans="1:11" x14ac:dyDescent="0.25">
      <c r="A456" s="6"/>
      <c r="B456" s="6"/>
      <c r="C456" s="27"/>
      <c r="D456" s="5"/>
      <c r="E456" s="26"/>
      <c r="F456" s="20"/>
      <c r="G456" s="20"/>
      <c r="H456" s="20"/>
      <c r="I456" s="24"/>
      <c r="J456" s="24"/>
      <c r="K456" s="24"/>
    </row>
    <row r="457" spans="1:11" x14ac:dyDescent="0.25">
      <c r="A457" s="6"/>
      <c r="B457" s="6"/>
      <c r="C457" s="27"/>
      <c r="D457" s="5"/>
      <c r="E457" s="26"/>
      <c r="F457" s="20"/>
      <c r="G457" s="20"/>
      <c r="H457" s="20"/>
      <c r="I457" s="24"/>
      <c r="J457" s="24"/>
      <c r="K457" s="24"/>
    </row>
    <row r="458" spans="1:11" x14ac:dyDescent="0.25">
      <c r="A458" s="6"/>
      <c r="B458" s="6"/>
      <c r="C458" s="27"/>
      <c r="D458" s="28"/>
      <c r="E458" s="26"/>
      <c r="F458" s="20"/>
      <c r="G458" s="20"/>
      <c r="H458" s="20"/>
      <c r="I458" s="24"/>
      <c r="J458" s="24"/>
      <c r="K458" s="24"/>
    </row>
    <row r="459" spans="1:11" x14ac:dyDescent="0.25">
      <c r="A459" s="6"/>
      <c r="B459" s="6"/>
      <c r="C459" s="27"/>
      <c r="D459" s="5"/>
      <c r="E459" s="26"/>
      <c r="F459" s="20"/>
      <c r="G459" s="20"/>
      <c r="H459" s="20"/>
      <c r="I459" s="24"/>
      <c r="J459" s="24"/>
      <c r="K459" s="24"/>
    </row>
    <row r="460" spans="1:11" x14ac:dyDescent="0.25">
      <c r="A460" s="6"/>
      <c r="B460" s="6"/>
      <c r="C460" s="27"/>
      <c r="D460" s="5"/>
      <c r="E460" s="26"/>
      <c r="F460" s="20"/>
      <c r="G460" s="20"/>
      <c r="H460" s="20"/>
      <c r="I460" s="24"/>
      <c r="J460" s="24"/>
      <c r="K460" s="24"/>
    </row>
    <row r="461" spans="1:11" x14ac:dyDescent="0.25">
      <c r="A461" s="6"/>
      <c r="B461" s="6"/>
      <c r="C461" s="27"/>
      <c r="D461" s="5"/>
      <c r="E461" s="26"/>
      <c r="F461" s="20"/>
      <c r="G461" s="20"/>
      <c r="H461" s="20"/>
      <c r="I461" s="24"/>
      <c r="J461" s="24"/>
      <c r="K461" s="24"/>
    </row>
    <row r="462" spans="1:11" x14ac:dyDescent="0.25">
      <c r="A462" s="6"/>
      <c r="B462" s="6"/>
      <c r="C462" s="27"/>
      <c r="D462" s="5"/>
      <c r="E462" s="26"/>
      <c r="F462" s="20"/>
      <c r="G462" s="20"/>
      <c r="H462" s="20"/>
      <c r="I462" s="24"/>
      <c r="J462" s="24"/>
      <c r="K462" s="24"/>
    </row>
    <row r="463" spans="1:11" x14ac:dyDescent="0.25">
      <c r="A463" s="6"/>
      <c r="B463" s="6"/>
      <c r="C463" s="27"/>
      <c r="D463" s="28"/>
      <c r="E463" s="26"/>
      <c r="F463" s="20"/>
      <c r="G463" s="20"/>
      <c r="H463" s="20"/>
      <c r="I463" s="24"/>
      <c r="J463" s="24"/>
      <c r="K463" s="24"/>
    </row>
    <row r="464" spans="1:11" x14ac:dyDescent="0.25">
      <c r="A464" s="6"/>
      <c r="B464" s="6"/>
      <c r="C464" s="27"/>
      <c r="D464" s="5"/>
      <c r="E464" s="26"/>
      <c r="F464" s="20"/>
      <c r="G464" s="20"/>
      <c r="H464" s="20"/>
      <c r="I464" s="24"/>
      <c r="J464" s="24"/>
      <c r="K464" s="24"/>
    </row>
    <row r="465" spans="1:11" x14ac:dyDescent="0.25">
      <c r="A465" s="6"/>
      <c r="B465" s="6"/>
      <c r="C465" s="27"/>
      <c r="D465" s="5"/>
      <c r="E465" s="26"/>
      <c r="F465" s="20"/>
      <c r="G465" s="20"/>
      <c r="H465" s="20"/>
      <c r="I465" s="24"/>
      <c r="J465" s="24"/>
      <c r="K465" s="24"/>
    </row>
    <row r="466" spans="1:11" x14ac:dyDescent="0.25">
      <c r="A466" s="6"/>
      <c r="B466" s="6"/>
      <c r="C466" s="27"/>
      <c r="D466" s="5"/>
      <c r="E466" s="26"/>
      <c r="F466" s="20"/>
      <c r="G466" s="20"/>
      <c r="H466" s="20"/>
      <c r="I466" s="24"/>
      <c r="J466" s="24"/>
      <c r="K466" s="24"/>
    </row>
    <row r="467" spans="1:11" x14ac:dyDescent="0.25">
      <c r="A467" s="6"/>
      <c r="B467" s="6"/>
      <c r="C467" s="27"/>
      <c r="D467" s="5"/>
      <c r="E467" s="26"/>
      <c r="F467" s="20"/>
      <c r="G467" s="20"/>
      <c r="H467" s="20"/>
      <c r="I467" s="24"/>
      <c r="J467" s="24"/>
      <c r="K467" s="24"/>
    </row>
    <row r="468" spans="1:11" x14ac:dyDescent="0.25">
      <c r="A468" s="6"/>
      <c r="B468" s="6"/>
      <c r="C468" s="27"/>
      <c r="D468" s="28"/>
      <c r="E468" s="26"/>
      <c r="F468" s="20"/>
      <c r="G468" s="20"/>
      <c r="H468" s="20"/>
      <c r="I468" s="24"/>
      <c r="J468" s="24"/>
      <c r="K468" s="24"/>
    </row>
    <row r="469" spans="1:11" x14ac:dyDescent="0.25">
      <c r="A469" s="6"/>
      <c r="B469" s="6"/>
      <c r="C469" s="27"/>
      <c r="D469" s="5"/>
      <c r="E469" s="26"/>
      <c r="F469" s="20"/>
      <c r="G469" s="20"/>
      <c r="H469" s="20"/>
      <c r="I469" s="24"/>
      <c r="J469" s="24"/>
      <c r="K469" s="24"/>
    </row>
    <row r="470" spans="1:11" x14ac:dyDescent="0.25">
      <c r="A470" s="6"/>
      <c r="B470" s="6"/>
      <c r="C470" s="27"/>
      <c r="D470" s="5"/>
      <c r="E470" s="26"/>
      <c r="F470" s="20"/>
      <c r="G470" s="20"/>
      <c r="H470" s="20"/>
      <c r="I470" s="24"/>
      <c r="J470" s="24"/>
      <c r="K470" s="24"/>
    </row>
    <row r="471" spans="1:11" x14ac:dyDescent="0.25">
      <c r="A471" s="6"/>
      <c r="B471" s="6"/>
      <c r="C471" s="27"/>
      <c r="D471" s="28"/>
      <c r="E471" s="26"/>
      <c r="F471" s="20"/>
      <c r="G471" s="20"/>
      <c r="H471" s="20"/>
      <c r="I471" s="24"/>
      <c r="J471" s="24"/>
      <c r="K471" s="24"/>
    </row>
    <row r="472" spans="1:11" x14ac:dyDescent="0.25">
      <c r="A472" s="6"/>
      <c r="B472" s="6"/>
      <c r="C472" s="27"/>
      <c r="D472" s="5"/>
      <c r="E472" s="26"/>
      <c r="F472" s="20"/>
      <c r="G472" s="20"/>
      <c r="H472" s="20"/>
      <c r="I472" s="24"/>
      <c r="J472" s="24"/>
      <c r="K472" s="24"/>
    </row>
    <row r="473" spans="1:11" x14ac:dyDescent="0.25">
      <c r="A473" s="6"/>
      <c r="B473" s="6"/>
      <c r="C473" s="27"/>
      <c r="D473" s="5"/>
      <c r="E473" s="26"/>
      <c r="F473" s="20"/>
      <c r="G473" s="20"/>
      <c r="H473" s="20"/>
      <c r="I473" s="24"/>
      <c r="J473" s="24"/>
      <c r="K473" s="24"/>
    </row>
    <row r="474" spans="1:11" x14ac:dyDescent="0.25">
      <c r="A474" s="6"/>
      <c r="B474" s="6"/>
      <c r="C474" s="27"/>
      <c r="D474" s="5"/>
      <c r="E474" s="26"/>
      <c r="F474" s="20"/>
      <c r="G474" s="20"/>
      <c r="H474" s="20"/>
      <c r="I474" s="24"/>
      <c r="J474" s="24"/>
      <c r="K474" s="24"/>
    </row>
    <row r="475" spans="1:11" x14ac:dyDescent="0.25">
      <c r="A475" s="6"/>
      <c r="B475" s="6"/>
      <c r="C475" s="27"/>
      <c r="D475" s="28"/>
      <c r="E475" s="26"/>
      <c r="F475" s="20"/>
      <c r="G475" s="20"/>
      <c r="H475" s="20"/>
      <c r="I475" s="24"/>
      <c r="J475" s="24"/>
      <c r="K475" s="24"/>
    </row>
    <row r="476" spans="1:11" x14ac:dyDescent="0.25">
      <c r="A476" s="6"/>
      <c r="B476" s="6"/>
      <c r="C476" s="27"/>
      <c r="D476" s="5"/>
      <c r="E476" s="26"/>
      <c r="F476" s="20"/>
      <c r="G476" s="20"/>
      <c r="H476" s="20"/>
      <c r="I476" s="24"/>
      <c r="J476" s="24"/>
      <c r="K476" s="24"/>
    </row>
    <row r="477" spans="1:11" x14ac:dyDescent="0.25">
      <c r="A477" s="6"/>
      <c r="B477" s="6"/>
      <c r="C477" s="27"/>
      <c r="D477" s="5"/>
      <c r="E477" s="26"/>
      <c r="F477" s="20"/>
      <c r="G477" s="20"/>
      <c r="H477" s="20"/>
      <c r="I477" s="24"/>
      <c r="J477" s="24"/>
      <c r="K477" s="24"/>
    </row>
    <row r="478" spans="1:11" x14ac:dyDescent="0.25">
      <c r="A478" s="6"/>
      <c r="B478" s="6"/>
      <c r="C478" s="27"/>
      <c r="D478" s="28"/>
      <c r="E478" s="26"/>
      <c r="F478" s="20"/>
      <c r="G478" s="20"/>
      <c r="H478" s="20"/>
      <c r="I478" s="24"/>
      <c r="J478" s="24"/>
      <c r="K478" s="24"/>
    </row>
    <row r="479" spans="1:11" x14ac:dyDescent="0.25">
      <c r="A479" s="6"/>
      <c r="B479" s="6"/>
      <c r="C479" s="27"/>
      <c r="D479" s="29"/>
      <c r="E479" s="26"/>
      <c r="F479" s="20"/>
      <c r="G479" s="20"/>
      <c r="H479" s="20"/>
      <c r="I479" s="24"/>
      <c r="J479" s="24"/>
      <c r="K479" s="24"/>
    </row>
    <row r="480" spans="1:11" x14ac:dyDescent="0.25">
      <c r="A480" s="6"/>
      <c r="B480" s="6"/>
      <c r="C480" s="27"/>
      <c r="D480" s="28"/>
      <c r="E480" s="26"/>
      <c r="F480" s="20"/>
      <c r="G480" s="20"/>
      <c r="H480" s="20"/>
      <c r="I480" s="24"/>
      <c r="J480" s="24"/>
      <c r="K480" s="24"/>
    </row>
    <row r="481" spans="1:11" x14ac:dyDescent="0.25">
      <c r="A481" s="6"/>
      <c r="B481" s="6"/>
      <c r="C481" s="27"/>
      <c r="D481" s="29"/>
      <c r="E481" s="26"/>
      <c r="F481" s="20"/>
      <c r="G481" s="20"/>
      <c r="H481" s="20"/>
      <c r="I481" s="24"/>
      <c r="J481" s="24"/>
      <c r="K481" s="24"/>
    </row>
    <row r="482" spans="1:11" x14ac:dyDescent="0.25">
      <c r="A482" s="6"/>
      <c r="B482" s="6"/>
      <c r="C482" s="27"/>
      <c r="D482" s="28"/>
      <c r="E482" s="26"/>
      <c r="F482" s="20"/>
      <c r="G482" s="20"/>
      <c r="H482" s="20"/>
      <c r="I482" s="24"/>
      <c r="J482" s="24"/>
      <c r="K482" s="24"/>
    </row>
    <row r="483" spans="1:11" x14ac:dyDescent="0.25">
      <c r="A483" s="6"/>
      <c r="B483" s="6"/>
      <c r="C483" s="27"/>
      <c r="D483" s="28"/>
      <c r="E483" s="26"/>
      <c r="F483" s="20"/>
      <c r="G483" s="20"/>
      <c r="H483" s="20"/>
      <c r="I483" s="24"/>
      <c r="J483" s="24"/>
      <c r="K483" s="24"/>
    </row>
    <row r="484" spans="1:11" x14ac:dyDescent="0.25">
      <c r="A484" s="6"/>
      <c r="B484" s="6"/>
      <c r="C484" s="27"/>
      <c r="D484" s="28"/>
      <c r="E484" s="26"/>
      <c r="F484" s="20"/>
      <c r="G484" s="20"/>
      <c r="H484" s="20"/>
      <c r="I484" s="24"/>
      <c r="J484" s="24"/>
      <c r="K484" s="24"/>
    </row>
    <row r="485" spans="1:11" x14ac:dyDescent="0.25">
      <c r="A485" s="6"/>
      <c r="B485" s="6"/>
      <c r="C485" s="27"/>
      <c r="D485" s="29"/>
      <c r="E485" s="26"/>
      <c r="F485" s="20"/>
      <c r="G485" s="20"/>
      <c r="H485" s="20"/>
      <c r="I485" s="24"/>
      <c r="J485" s="24"/>
      <c r="K485" s="24"/>
    </row>
    <row r="486" spans="1:11" x14ac:dyDescent="0.25">
      <c r="A486" s="6"/>
      <c r="B486" s="6"/>
      <c r="C486" s="27"/>
      <c r="D486" s="29"/>
      <c r="E486" s="26"/>
      <c r="F486" s="20"/>
      <c r="G486" s="20"/>
      <c r="H486" s="20"/>
      <c r="I486" s="24"/>
      <c r="J486" s="24"/>
      <c r="K486" s="24"/>
    </row>
    <row r="487" spans="1:11" x14ac:dyDescent="0.25">
      <c r="A487" s="6"/>
      <c r="B487" s="6"/>
      <c r="C487" s="27"/>
      <c r="D487" s="28"/>
      <c r="E487" s="26"/>
      <c r="F487" s="20"/>
      <c r="G487" s="20"/>
      <c r="H487" s="20"/>
      <c r="I487" s="24"/>
      <c r="J487" s="24"/>
      <c r="K487" s="24"/>
    </row>
    <row r="488" spans="1:11" x14ac:dyDescent="0.25">
      <c r="A488" s="6"/>
      <c r="B488" s="6"/>
      <c r="C488" s="27"/>
      <c r="D488" s="29"/>
      <c r="E488" s="26"/>
      <c r="F488" s="20"/>
      <c r="G488" s="20"/>
      <c r="H488" s="20"/>
      <c r="I488" s="24"/>
      <c r="J488" s="24"/>
      <c r="K488" s="24"/>
    </row>
    <row r="489" spans="1:11" x14ac:dyDescent="0.25">
      <c r="A489" s="6"/>
      <c r="B489" s="6"/>
      <c r="C489" s="27"/>
      <c r="D489" s="28"/>
      <c r="E489" s="26"/>
      <c r="F489" s="20"/>
      <c r="G489" s="20"/>
      <c r="H489" s="20"/>
      <c r="I489" s="24"/>
      <c r="J489" s="24"/>
      <c r="K489" s="24"/>
    </row>
    <row r="490" spans="1:11" x14ac:dyDescent="0.25">
      <c r="A490" s="6"/>
      <c r="B490" s="6"/>
      <c r="C490" s="27"/>
      <c r="D490" s="28"/>
      <c r="E490" s="26"/>
      <c r="F490" s="20"/>
      <c r="G490" s="20"/>
      <c r="H490" s="20"/>
      <c r="I490" s="24"/>
      <c r="J490" s="24"/>
      <c r="K490" s="24"/>
    </row>
    <row r="491" spans="1:11" x14ac:dyDescent="0.25">
      <c r="A491" s="6"/>
      <c r="B491" s="6"/>
      <c r="C491" s="27"/>
      <c r="D491" s="29"/>
      <c r="E491" s="26"/>
      <c r="F491" s="20"/>
      <c r="G491" s="20"/>
      <c r="H491" s="20"/>
      <c r="I491" s="24"/>
      <c r="J491" s="24"/>
      <c r="K491" s="24"/>
    </row>
    <row r="492" spans="1:11" x14ac:dyDescent="0.25">
      <c r="A492" s="6"/>
      <c r="B492" s="6"/>
      <c r="C492" s="27"/>
      <c r="D492" s="28"/>
      <c r="E492" s="26"/>
      <c r="F492" s="20"/>
      <c r="G492" s="20"/>
      <c r="H492" s="20"/>
      <c r="I492" s="24"/>
      <c r="J492" s="24"/>
      <c r="K492" s="24"/>
    </row>
    <row r="493" spans="1:11" x14ac:dyDescent="0.25">
      <c r="A493" s="6"/>
      <c r="B493" s="6"/>
      <c r="C493" s="27"/>
      <c r="D493" s="28"/>
      <c r="E493" s="26"/>
      <c r="F493" s="20"/>
      <c r="G493" s="20"/>
      <c r="H493" s="20"/>
      <c r="I493" s="24"/>
      <c r="J493" s="24"/>
      <c r="K493" s="24"/>
    </row>
    <row r="494" spans="1:11" x14ac:dyDescent="0.25">
      <c r="A494" s="6"/>
      <c r="B494" s="6"/>
      <c r="C494" s="27"/>
      <c r="D494" s="28"/>
      <c r="E494" s="26"/>
      <c r="F494" s="20"/>
      <c r="G494" s="20"/>
      <c r="H494" s="20"/>
      <c r="I494" s="24"/>
      <c r="J494" s="24"/>
      <c r="K494" s="24"/>
    </row>
    <row r="495" spans="1:11" x14ac:dyDescent="0.25">
      <c r="A495" s="6"/>
      <c r="B495" s="6"/>
      <c r="C495" s="27"/>
      <c r="D495" s="29"/>
      <c r="E495" s="26"/>
      <c r="F495" s="20"/>
      <c r="G495" s="20"/>
      <c r="H495" s="20"/>
      <c r="I495" s="24"/>
      <c r="J495" s="24"/>
      <c r="K495" s="24"/>
    </row>
    <row r="496" spans="1:11" x14ac:dyDescent="0.25">
      <c r="A496" s="6"/>
      <c r="B496" s="6"/>
      <c r="C496" s="27"/>
      <c r="D496" s="29"/>
      <c r="E496" s="26"/>
      <c r="F496" s="20"/>
      <c r="G496" s="20"/>
      <c r="H496" s="20"/>
      <c r="I496" s="24"/>
      <c r="J496" s="24"/>
      <c r="K496" s="24"/>
    </row>
    <row r="497" spans="1:11" x14ac:dyDescent="0.25">
      <c r="A497" s="6"/>
      <c r="B497" s="6"/>
      <c r="C497" s="27"/>
      <c r="D497" s="28"/>
      <c r="E497" s="26"/>
      <c r="F497" s="20"/>
      <c r="G497" s="20"/>
      <c r="H497" s="20"/>
      <c r="I497" s="24"/>
      <c r="J497" s="24"/>
      <c r="K497" s="24"/>
    </row>
    <row r="498" spans="1:11" x14ac:dyDescent="0.25">
      <c r="A498" s="6"/>
      <c r="B498" s="6"/>
      <c r="C498" s="27"/>
      <c r="D498" s="29"/>
      <c r="E498" s="26"/>
      <c r="F498" s="20"/>
      <c r="G498" s="20"/>
      <c r="H498" s="20"/>
      <c r="I498" s="24"/>
      <c r="J498" s="24"/>
      <c r="K498" s="24"/>
    </row>
    <row r="499" spans="1:11" x14ac:dyDescent="0.25">
      <c r="A499" s="6"/>
      <c r="B499" s="6"/>
      <c r="C499" s="27"/>
      <c r="D499" s="28"/>
      <c r="E499" s="26"/>
      <c r="F499" s="20"/>
      <c r="G499" s="20"/>
      <c r="H499" s="20"/>
      <c r="I499" s="24"/>
      <c r="J499" s="24"/>
      <c r="K499" s="24"/>
    </row>
    <row r="500" spans="1:11" x14ac:dyDescent="0.25">
      <c r="A500" s="6"/>
      <c r="B500" s="6"/>
      <c r="C500" s="27"/>
      <c r="D500" s="28"/>
      <c r="E500" s="26"/>
      <c r="F500" s="20"/>
      <c r="G500" s="20"/>
      <c r="H500" s="20"/>
      <c r="I500" s="24"/>
      <c r="J500" s="24"/>
      <c r="K500" s="24"/>
    </row>
    <row r="501" spans="1:11" x14ac:dyDescent="0.25">
      <c r="A501" s="6"/>
      <c r="B501" s="6"/>
      <c r="C501" s="27"/>
      <c r="D501" s="28"/>
      <c r="E501" s="26"/>
      <c r="F501" s="20"/>
      <c r="G501" s="20"/>
      <c r="H501" s="20"/>
      <c r="I501" s="24"/>
      <c r="J501" s="24"/>
      <c r="K501" s="24"/>
    </row>
    <row r="502" spans="1:11" x14ac:dyDescent="0.25">
      <c r="A502" s="6"/>
      <c r="B502" s="6"/>
      <c r="C502" s="27"/>
      <c r="D502" s="28"/>
      <c r="E502" s="26"/>
      <c r="F502" s="20"/>
      <c r="G502" s="20"/>
      <c r="H502" s="20"/>
      <c r="I502" s="24"/>
      <c r="J502" s="24"/>
      <c r="K502" s="24"/>
    </row>
    <row r="503" spans="1:11" x14ac:dyDescent="0.25">
      <c r="A503" s="6"/>
      <c r="B503" s="6"/>
      <c r="C503" s="27"/>
      <c r="D503" s="28"/>
      <c r="E503" s="26"/>
      <c r="F503" s="20"/>
      <c r="G503" s="20"/>
      <c r="H503" s="20"/>
      <c r="I503" s="24"/>
      <c r="J503" s="24"/>
      <c r="K503" s="24"/>
    </row>
    <row r="504" spans="1:11" x14ac:dyDescent="0.25">
      <c r="C504" s="20"/>
      <c r="D504" s="28"/>
      <c r="E504" s="26"/>
      <c r="F504" s="20"/>
      <c r="G504" s="20"/>
      <c r="H504" s="20"/>
      <c r="I504" s="24"/>
      <c r="J504" s="24"/>
      <c r="K504" s="24"/>
    </row>
    <row r="505" spans="1:11" x14ac:dyDescent="0.25">
      <c r="C505" s="20"/>
      <c r="D505" s="28"/>
      <c r="E505" s="26"/>
      <c r="F505" s="20"/>
      <c r="G505" s="20"/>
      <c r="H505" s="20"/>
      <c r="I505" s="24"/>
      <c r="J505" s="24"/>
      <c r="K505" s="24"/>
    </row>
    <row r="506" spans="1:11" x14ac:dyDescent="0.25">
      <c r="C506" s="20"/>
      <c r="D506" s="28"/>
      <c r="E506" s="26"/>
      <c r="F506" s="20"/>
      <c r="G506" s="20"/>
      <c r="H506" s="20"/>
      <c r="I506" s="24"/>
      <c r="J506" s="24"/>
      <c r="K506" s="24"/>
    </row>
    <row r="507" spans="1:11" x14ac:dyDescent="0.25">
      <c r="C507" s="20"/>
      <c r="D507" s="28"/>
      <c r="E507" s="26"/>
      <c r="F507" s="20"/>
      <c r="G507" s="20"/>
      <c r="H507" s="20"/>
      <c r="I507" s="24"/>
      <c r="J507" s="24"/>
      <c r="K507" s="24"/>
    </row>
    <row r="508" spans="1:11" x14ac:dyDescent="0.25">
      <c r="C508" s="20"/>
      <c r="D508" s="28"/>
      <c r="E508" s="26"/>
      <c r="F508" s="20"/>
      <c r="G508" s="20"/>
      <c r="H508" s="20"/>
      <c r="I508" s="24"/>
      <c r="J508" s="24"/>
      <c r="K508" s="24"/>
    </row>
    <row r="509" spans="1:11" x14ac:dyDescent="0.25">
      <c r="C509" s="20"/>
      <c r="D509" s="28"/>
      <c r="E509" s="26"/>
      <c r="F509" s="20"/>
      <c r="G509" s="20"/>
      <c r="H509" s="20"/>
      <c r="I509" s="24"/>
      <c r="J509" s="24"/>
      <c r="K509" s="24"/>
    </row>
    <row r="510" spans="1:11" x14ac:dyDescent="0.25">
      <c r="C510" s="20"/>
      <c r="D510" s="5"/>
      <c r="E510" s="26"/>
      <c r="F510" s="20"/>
      <c r="G510" s="20"/>
      <c r="H510" s="20"/>
      <c r="I510" s="24"/>
      <c r="J510" s="24"/>
      <c r="K510" s="24"/>
    </row>
    <row r="511" spans="1:11" x14ac:dyDescent="0.25">
      <c r="C511" s="20"/>
      <c r="D511" s="5"/>
      <c r="E511" s="26"/>
      <c r="F511" s="20"/>
      <c r="G511" s="20"/>
      <c r="H511" s="20"/>
      <c r="I511" s="24"/>
      <c r="J511" s="24"/>
      <c r="K511" s="24"/>
    </row>
    <row r="512" spans="1:11" x14ac:dyDescent="0.25">
      <c r="C512" s="20"/>
      <c r="D512" s="28"/>
      <c r="E512" s="26"/>
      <c r="F512" s="20"/>
      <c r="G512" s="20"/>
      <c r="H512" s="20"/>
      <c r="I512" s="24"/>
      <c r="J512" s="24"/>
      <c r="K512" s="24"/>
    </row>
    <row r="513" spans="3:11" x14ac:dyDescent="0.25">
      <c r="C513" s="20"/>
      <c r="D513" s="5"/>
      <c r="E513" s="26"/>
      <c r="F513" s="20"/>
      <c r="G513" s="20"/>
      <c r="H513" s="20"/>
      <c r="I513" s="24"/>
      <c r="J513" s="24"/>
      <c r="K513" s="24"/>
    </row>
    <row r="514" spans="3:11" x14ac:dyDescent="0.25">
      <c r="C514" s="20"/>
      <c r="D514" s="5"/>
      <c r="E514" s="26"/>
      <c r="F514" s="20"/>
      <c r="G514" s="20"/>
      <c r="H514" s="20"/>
      <c r="I514" s="24"/>
      <c r="J514" s="24"/>
      <c r="K514" s="24"/>
    </row>
    <row r="515" spans="3:11" x14ac:dyDescent="0.25">
      <c r="C515" s="20"/>
      <c r="D515" s="5"/>
      <c r="E515" s="26"/>
      <c r="F515" s="20"/>
      <c r="G515" s="20"/>
      <c r="H515" s="20"/>
      <c r="I515" s="24"/>
      <c r="J515" s="24"/>
      <c r="K515" s="24"/>
    </row>
    <row r="516" spans="3:11" x14ac:dyDescent="0.25">
      <c r="C516" s="20"/>
      <c r="D516" s="5"/>
      <c r="E516" s="26"/>
      <c r="F516" s="20"/>
      <c r="G516" s="20"/>
      <c r="H516" s="20"/>
      <c r="I516" s="24"/>
      <c r="J516" s="24"/>
      <c r="K516" s="24"/>
    </row>
    <row r="517" spans="3:11" x14ac:dyDescent="0.25">
      <c r="C517" s="20"/>
      <c r="D517" s="5"/>
      <c r="E517" s="26"/>
      <c r="F517" s="20"/>
      <c r="G517" s="20"/>
      <c r="H517" s="20"/>
      <c r="I517" s="24"/>
      <c r="J517" s="24"/>
      <c r="K517" s="24"/>
    </row>
    <row r="518" spans="3:11" x14ac:dyDescent="0.25">
      <c r="C518" s="20"/>
      <c r="D518" s="5"/>
      <c r="E518" s="26"/>
      <c r="F518" s="20"/>
      <c r="G518" s="20"/>
      <c r="H518" s="20"/>
      <c r="I518" s="24"/>
      <c r="J518" s="24"/>
      <c r="K518" s="24"/>
    </row>
    <row r="519" spans="3:11" x14ac:dyDescent="0.25">
      <c r="C519" s="20"/>
      <c r="D519" s="5"/>
      <c r="E519" s="26"/>
      <c r="F519" s="20"/>
      <c r="G519" s="20"/>
      <c r="H519" s="20"/>
      <c r="I519" s="24"/>
      <c r="J519" s="24"/>
      <c r="K519" s="24"/>
    </row>
    <row r="520" spans="3:11" x14ac:dyDescent="0.25">
      <c r="C520" s="20"/>
      <c r="D520" s="5"/>
      <c r="E520" s="26"/>
      <c r="F520" s="20"/>
      <c r="G520" s="20"/>
      <c r="H520" s="20"/>
      <c r="I520" s="24"/>
      <c r="J520" s="24"/>
      <c r="K520" s="24"/>
    </row>
    <row r="521" spans="3:11" x14ac:dyDescent="0.25">
      <c r="C521" s="20"/>
      <c r="D521" s="5"/>
      <c r="E521" s="26"/>
      <c r="F521" s="20"/>
      <c r="G521" s="20"/>
      <c r="H521" s="20"/>
      <c r="I521" s="24"/>
      <c r="J521" s="24"/>
      <c r="K521" s="24"/>
    </row>
    <row r="522" spans="3:11" x14ac:dyDescent="0.25">
      <c r="C522" s="20"/>
      <c r="D522" s="5"/>
      <c r="E522" s="26"/>
      <c r="F522" s="20"/>
      <c r="G522" s="20"/>
      <c r="H522" s="20"/>
      <c r="I522" s="24"/>
      <c r="J522" s="24"/>
      <c r="K522" s="24"/>
    </row>
    <row r="523" spans="3:11" x14ac:dyDescent="0.25">
      <c r="C523" s="20"/>
      <c r="D523" s="5"/>
      <c r="E523" s="26"/>
      <c r="F523" s="20"/>
      <c r="G523" s="20"/>
      <c r="H523" s="20"/>
      <c r="I523" s="24"/>
      <c r="J523" s="24"/>
      <c r="K523" s="24"/>
    </row>
    <row r="524" spans="3:11" x14ac:dyDescent="0.25">
      <c r="C524" s="20"/>
      <c r="D524" s="5"/>
      <c r="E524" s="26"/>
      <c r="F524" s="20"/>
      <c r="G524" s="20"/>
      <c r="H524" s="20"/>
      <c r="I524" s="24"/>
      <c r="J524" s="24"/>
      <c r="K524" s="24"/>
    </row>
    <row r="525" spans="3:11" x14ac:dyDescent="0.25">
      <c r="C525" s="20"/>
      <c r="D525" s="5"/>
      <c r="E525" s="26"/>
      <c r="F525" s="20"/>
      <c r="G525" s="20"/>
      <c r="H525" s="20"/>
      <c r="I525" s="24"/>
      <c r="J525" s="24"/>
      <c r="K525" s="24"/>
    </row>
    <row r="526" spans="3:11" x14ac:dyDescent="0.25">
      <c r="C526" s="20"/>
      <c r="D526" s="5"/>
      <c r="E526" s="26"/>
      <c r="F526" s="20"/>
      <c r="G526" s="20"/>
      <c r="H526" s="20"/>
      <c r="I526" s="24"/>
      <c r="J526" s="24"/>
      <c r="K526" s="24"/>
    </row>
    <row r="527" spans="3:11" x14ac:dyDescent="0.25">
      <c r="C527" s="20"/>
      <c r="D527" s="5"/>
      <c r="E527" s="26"/>
      <c r="F527" s="20"/>
      <c r="G527" s="20"/>
      <c r="H527" s="20"/>
      <c r="I527" s="24"/>
      <c r="J527" s="24"/>
      <c r="K527" s="24"/>
    </row>
    <row r="528" spans="3:11" x14ac:dyDescent="0.25">
      <c r="C528" s="20"/>
      <c r="D528" s="5"/>
      <c r="E528" s="26"/>
      <c r="F528" s="20"/>
      <c r="G528" s="20"/>
      <c r="H528" s="20"/>
      <c r="I528" s="24"/>
      <c r="J528" s="24"/>
      <c r="K528" s="24"/>
    </row>
    <row r="529" spans="3:11" x14ac:dyDescent="0.25">
      <c r="C529" s="20"/>
      <c r="D529" s="5"/>
      <c r="E529" s="26"/>
      <c r="F529" s="20"/>
      <c r="G529" s="20"/>
      <c r="H529" s="20"/>
      <c r="I529" s="24"/>
      <c r="J529" s="24"/>
      <c r="K529" s="24"/>
    </row>
    <row r="530" spans="3:11" x14ac:dyDescent="0.25">
      <c r="C530" s="20"/>
      <c r="D530" s="5"/>
      <c r="E530" s="26"/>
      <c r="F530" s="20"/>
      <c r="G530" s="20"/>
      <c r="H530" s="20"/>
      <c r="I530" s="24"/>
      <c r="J530" s="24"/>
      <c r="K530" s="24"/>
    </row>
    <row r="531" spans="3:11" x14ac:dyDescent="0.25">
      <c r="C531" s="20"/>
      <c r="D531" s="5"/>
      <c r="E531" s="26"/>
      <c r="F531" s="20"/>
      <c r="G531" s="20"/>
      <c r="H531" s="20"/>
      <c r="I531" s="24"/>
      <c r="J531" s="24"/>
      <c r="K531" s="24"/>
    </row>
    <row r="532" spans="3:11" x14ac:dyDescent="0.25">
      <c r="C532" s="20"/>
      <c r="D532" s="5"/>
      <c r="E532" s="26"/>
      <c r="F532" s="20"/>
      <c r="G532" s="20"/>
      <c r="H532" s="20"/>
      <c r="I532" s="24"/>
      <c r="J532" s="24"/>
      <c r="K532" s="24"/>
    </row>
    <row r="533" spans="3:11" x14ac:dyDescent="0.25">
      <c r="C533" s="20"/>
      <c r="D533" s="5"/>
      <c r="E533" s="26"/>
      <c r="F533" s="20"/>
      <c r="G533" s="20"/>
      <c r="H533" s="20"/>
      <c r="I533" s="24"/>
      <c r="J533" s="24"/>
      <c r="K533" s="24"/>
    </row>
    <row r="534" spans="3:11" x14ac:dyDescent="0.25">
      <c r="C534" s="20"/>
      <c r="D534" s="28"/>
      <c r="E534" s="26"/>
      <c r="F534" s="20"/>
      <c r="G534" s="20"/>
      <c r="H534" s="20"/>
      <c r="I534" s="24"/>
      <c r="J534" s="24"/>
      <c r="K534" s="24"/>
    </row>
    <row r="535" spans="3:11" x14ac:dyDescent="0.25">
      <c r="C535" s="20"/>
      <c r="D535" s="5"/>
      <c r="E535" s="26"/>
      <c r="F535" s="20"/>
      <c r="G535" s="20"/>
      <c r="H535" s="20"/>
      <c r="I535" s="24"/>
      <c r="J535" s="24"/>
      <c r="K535" s="24"/>
    </row>
    <row r="536" spans="3:11" x14ac:dyDescent="0.25">
      <c r="C536" s="20"/>
      <c r="D536" s="28"/>
      <c r="E536" s="26"/>
      <c r="F536" s="20"/>
      <c r="G536" s="20"/>
      <c r="H536" s="20"/>
      <c r="I536" s="24"/>
      <c r="J536" s="24"/>
      <c r="K536" s="24"/>
    </row>
    <row r="537" spans="3:11" x14ac:dyDescent="0.25">
      <c r="C537" s="20"/>
      <c r="D537" s="5"/>
      <c r="E537" s="26"/>
      <c r="F537" s="20"/>
      <c r="G537" s="20"/>
      <c r="H537" s="20"/>
      <c r="I537" s="24"/>
      <c r="J537" s="24"/>
      <c r="K537" s="24"/>
    </row>
    <row r="538" spans="3:11" x14ac:dyDescent="0.25">
      <c r="C538" s="20"/>
      <c r="D538" s="28"/>
      <c r="E538" s="26"/>
      <c r="F538" s="20"/>
      <c r="G538" s="20"/>
      <c r="H538" s="20"/>
      <c r="I538" s="24"/>
      <c r="J538" s="24"/>
      <c r="K538" s="24"/>
    </row>
    <row r="539" spans="3:11" x14ac:dyDescent="0.25">
      <c r="C539" s="20"/>
      <c r="D539" s="28"/>
      <c r="E539" s="26"/>
      <c r="F539" s="20"/>
      <c r="G539" s="20"/>
      <c r="H539" s="20"/>
      <c r="I539" s="24"/>
      <c r="J539" s="24"/>
      <c r="K539" s="24"/>
    </row>
    <row r="540" spans="3:11" x14ac:dyDescent="0.25">
      <c r="C540" s="20"/>
      <c r="D540" s="5"/>
      <c r="E540" s="26"/>
      <c r="F540" s="20"/>
      <c r="G540" s="20"/>
      <c r="H540" s="20"/>
      <c r="I540" s="24"/>
      <c r="J540" s="24"/>
      <c r="K540" s="24"/>
    </row>
    <row r="541" spans="3:11" x14ac:dyDescent="0.25">
      <c r="C541" s="20"/>
      <c r="D541" s="5"/>
      <c r="E541" s="26"/>
      <c r="F541" s="20"/>
      <c r="G541" s="20"/>
      <c r="H541" s="20"/>
      <c r="I541" s="24"/>
      <c r="J541" s="24"/>
      <c r="K541" s="24"/>
    </row>
    <row r="542" spans="3:11" x14ac:dyDescent="0.25">
      <c r="C542" s="20"/>
      <c r="D542" s="5"/>
      <c r="E542" s="26"/>
      <c r="F542" s="20"/>
      <c r="G542" s="20"/>
      <c r="H542" s="20"/>
      <c r="I542" s="24"/>
      <c r="J542" s="24"/>
      <c r="K542" s="24"/>
    </row>
    <row r="543" spans="3:11" x14ac:dyDescent="0.25">
      <c r="C543" s="20"/>
      <c r="D543" s="5"/>
      <c r="E543" s="26"/>
      <c r="F543" s="20"/>
      <c r="G543" s="20"/>
      <c r="H543" s="20"/>
      <c r="I543" s="24"/>
      <c r="J543" s="24"/>
      <c r="K543" s="24"/>
    </row>
    <row r="544" spans="3:11" x14ac:dyDescent="0.25">
      <c r="C544" s="20"/>
      <c r="D544" s="5"/>
      <c r="E544" s="26"/>
      <c r="F544" s="20"/>
      <c r="G544" s="20"/>
      <c r="H544" s="20"/>
      <c r="I544" s="24"/>
      <c r="J544" s="24"/>
      <c r="K544" s="24"/>
    </row>
    <row r="545" spans="3:11" x14ac:dyDescent="0.25">
      <c r="C545" s="20"/>
      <c r="D545" s="28"/>
      <c r="E545" s="26"/>
      <c r="F545" s="20"/>
      <c r="G545" s="20"/>
      <c r="H545" s="20"/>
      <c r="I545" s="24"/>
      <c r="J545" s="24"/>
      <c r="K545" s="24"/>
    </row>
    <row r="546" spans="3:11" x14ac:dyDescent="0.25">
      <c r="C546" s="20"/>
      <c r="D546" s="5"/>
      <c r="E546" s="26"/>
      <c r="F546" s="20"/>
      <c r="G546" s="20"/>
      <c r="H546" s="20"/>
      <c r="I546" s="24"/>
      <c r="J546" s="24"/>
      <c r="K546" s="24"/>
    </row>
    <row r="547" spans="3:11" x14ac:dyDescent="0.25">
      <c r="C547" s="20"/>
      <c r="D547" s="5"/>
      <c r="E547" s="26"/>
      <c r="F547" s="20"/>
      <c r="G547" s="20"/>
      <c r="H547" s="20"/>
      <c r="I547" s="24"/>
      <c r="J547" s="24"/>
      <c r="K547" s="24"/>
    </row>
    <row r="548" spans="3:11" x14ac:dyDescent="0.25">
      <c r="C548" s="20"/>
      <c r="D548" s="5"/>
      <c r="E548" s="26"/>
      <c r="F548" s="20"/>
      <c r="G548" s="20"/>
      <c r="H548" s="20"/>
      <c r="I548" s="24"/>
      <c r="J548" s="24"/>
      <c r="K548" s="24"/>
    </row>
    <row r="549" spans="3:11" x14ac:dyDescent="0.25">
      <c r="C549" s="20"/>
      <c r="D549" s="5"/>
      <c r="E549" s="26"/>
      <c r="F549" s="20"/>
      <c r="G549" s="20"/>
      <c r="H549" s="20"/>
      <c r="I549" s="24"/>
      <c r="J549" s="24"/>
      <c r="K549" s="24"/>
    </row>
    <row r="550" spans="3:11" x14ac:dyDescent="0.25">
      <c r="C550" s="20"/>
      <c r="D550" s="5"/>
      <c r="E550" s="26"/>
      <c r="F550" s="20"/>
      <c r="G550" s="20"/>
      <c r="H550" s="20"/>
      <c r="I550" s="24"/>
      <c r="J550" s="24"/>
      <c r="K550" s="24"/>
    </row>
    <row r="551" spans="3:11" x14ac:dyDescent="0.25">
      <c r="C551" s="20"/>
      <c r="D551" s="28"/>
      <c r="E551" s="26"/>
      <c r="F551" s="20"/>
      <c r="G551" s="20"/>
      <c r="H551" s="20"/>
      <c r="I551" s="24"/>
      <c r="J551" s="24"/>
      <c r="K551" s="24"/>
    </row>
    <row r="552" spans="3:11" x14ac:dyDescent="0.25">
      <c r="C552" s="20"/>
      <c r="D552" s="28"/>
      <c r="E552" s="26"/>
      <c r="F552" s="20"/>
      <c r="G552" s="20"/>
      <c r="H552" s="20"/>
      <c r="I552" s="24"/>
      <c r="J552" s="24"/>
      <c r="K552" s="24"/>
    </row>
    <row r="553" spans="3:11" x14ac:dyDescent="0.25">
      <c r="C553" s="20"/>
      <c r="D553" s="5"/>
      <c r="E553" s="26"/>
      <c r="F553" s="20"/>
      <c r="G553" s="20"/>
      <c r="H553" s="20"/>
      <c r="I553" s="24"/>
      <c r="J553" s="24"/>
      <c r="K553" s="24"/>
    </row>
    <row r="554" spans="3:11" x14ac:dyDescent="0.25">
      <c r="C554" s="20"/>
      <c r="D554" s="28"/>
      <c r="E554" s="26"/>
      <c r="F554" s="20"/>
      <c r="G554" s="20"/>
      <c r="H554" s="20"/>
      <c r="I554" s="24"/>
      <c r="J554" s="24"/>
      <c r="K554" s="24"/>
    </row>
    <row r="555" spans="3:11" x14ac:dyDescent="0.25">
      <c r="C555" s="20"/>
      <c r="D555" s="28"/>
      <c r="E555" s="26"/>
      <c r="F555" s="20"/>
      <c r="G555" s="20"/>
      <c r="H555" s="20"/>
      <c r="I555" s="24"/>
      <c r="J555" s="24"/>
      <c r="K555" s="24"/>
    </row>
    <row r="556" spans="3:11" x14ac:dyDescent="0.25">
      <c r="C556" s="20"/>
      <c r="D556" s="5"/>
      <c r="E556" s="26"/>
      <c r="F556" s="20"/>
      <c r="G556" s="20"/>
      <c r="H556" s="20"/>
      <c r="I556" s="24"/>
      <c r="J556" s="24"/>
      <c r="K556" s="24"/>
    </row>
    <row r="557" spans="3:11" x14ac:dyDescent="0.25">
      <c r="C557" s="20"/>
      <c r="D557" s="5"/>
      <c r="E557" s="26"/>
      <c r="F557" s="20"/>
      <c r="G557" s="20"/>
      <c r="H557" s="20"/>
      <c r="I557" s="24"/>
      <c r="J557" s="24"/>
      <c r="K557" s="24"/>
    </row>
    <row r="558" spans="3:11" x14ac:dyDescent="0.25">
      <c r="C558" s="20"/>
      <c r="D558" s="5"/>
      <c r="E558" s="26"/>
      <c r="F558" s="20"/>
      <c r="G558" s="20"/>
      <c r="H558" s="20"/>
      <c r="I558" s="24"/>
      <c r="J558" s="24"/>
      <c r="K558" s="24"/>
    </row>
    <row r="559" spans="3:11" x14ac:dyDescent="0.25">
      <c r="C559" s="5"/>
      <c r="D559" s="29"/>
      <c r="E559" s="26"/>
      <c r="F559" s="20"/>
      <c r="G559" s="20"/>
      <c r="H559" s="20"/>
      <c r="I559" s="24"/>
      <c r="J559" s="24"/>
      <c r="K559" s="24"/>
    </row>
    <row r="560" spans="3:11" x14ac:dyDescent="0.25">
      <c r="C560" s="5"/>
      <c r="D560" s="29"/>
      <c r="E560" s="26"/>
      <c r="F560" s="20"/>
      <c r="G560" s="20"/>
      <c r="H560" s="20"/>
      <c r="I560" s="24"/>
      <c r="J560" s="24"/>
      <c r="K560" s="24"/>
    </row>
    <row r="561" spans="3:11" x14ac:dyDescent="0.25">
      <c r="C561" s="5"/>
      <c r="D561" s="29"/>
      <c r="E561" s="26"/>
      <c r="F561" s="20"/>
      <c r="G561" s="20"/>
      <c r="H561" s="20"/>
      <c r="I561" s="24"/>
      <c r="J561" s="24"/>
      <c r="K561" s="24"/>
    </row>
    <row r="562" spans="3:11" x14ac:dyDescent="0.25">
      <c r="C562" s="5"/>
      <c r="D562" s="29"/>
      <c r="E562" s="26"/>
      <c r="F562" s="20"/>
      <c r="G562" s="20"/>
      <c r="H562" s="20"/>
      <c r="I562" s="24"/>
      <c r="J562" s="24"/>
      <c r="K562" s="24"/>
    </row>
    <row r="563" spans="3:11" x14ac:dyDescent="0.25">
      <c r="C563" s="5"/>
      <c r="D563" s="29"/>
      <c r="E563" s="26"/>
      <c r="F563" s="20"/>
      <c r="G563" s="20"/>
      <c r="H563" s="20"/>
      <c r="I563" s="24"/>
      <c r="J563" s="24"/>
      <c r="K563" s="24"/>
    </row>
    <row r="564" spans="3:11" x14ac:dyDescent="0.25">
      <c r="C564" s="30"/>
      <c r="D564" s="30"/>
      <c r="E564" s="31"/>
      <c r="F564" s="20"/>
      <c r="G564" s="20"/>
      <c r="H564" s="30"/>
      <c r="I564" s="24"/>
      <c r="J564" s="24"/>
      <c r="K564" s="24"/>
    </row>
    <row r="565" spans="3:11" x14ac:dyDescent="0.25">
      <c r="C565" s="30"/>
      <c r="D565" s="30"/>
      <c r="E565" s="31"/>
      <c r="F565" s="20"/>
      <c r="G565" s="20"/>
      <c r="H565" s="30"/>
      <c r="I565" s="24"/>
      <c r="J565" s="24"/>
      <c r="K565" s="24"/>
    </row>
    <row r="566" spans="3:11" x14ac:dyDescent="0.25">
      <c r="C566" s="30"/>
      <c r="D566" s="30"/>
      <c r="E566" s="31"/>
      <c r="F566" s="20"/>
      <c r="G566" s="20"/>
      <c r="H566" s="30"/>
      <c r="I566" s="24"/>
      <c r="J566" s="24"/>
      <c r="K566" s="24"/>
    </row>
    <row r="567" spans="3:11" x14ac:dyDescent="0.25">
      <c r="C567" s="30"/>
      <c r="D567" s="30"/>
      <c r="E567" s="31"/>
      <c r="F567" s="20"/>
      <c r="G567" s="20"/>
      <c r="H567" s="30"/>
      <c r="I567" s="24"/>
      <c r="J567" s="24"/>
      <c r="K567" s="24"/>
    </row>
    <row r="568" spans="3:11" x14ac:dyDescent="0.25">
      <c r="C568" s="30"/>
      <c r="D568" s="30"/>
      <c r="E568" s="31"/>
      <c r="F568" s="20"/>
      <c r="G568" s="20"/>
      <c r="H568" s="30"/>
      <c r="I568" s="24"/>
      <c r="J568" s="24"/>
      <c r="K568" s="24"/>
    </row>
    <row r="569" spans="3:11" x14ac:dyDescent="0.25">
      <c r="C569" s="30"/>
      <c r="D569" s="30"/>
      <c r="E569" s="31"/>
      <c r="F569" s="20"/>
      <c r="G569" s="20"/>
      <c r="H569" s="30"/>
      <c r="I569" s="24"/>
      <c r="J569" s="24"/>
      <c r="K569" s="24"/>
    </row>
    <row r="570" spans="3:11" x14ac:dyDescent="0.25">
      <c r="C570" s="30"/>
      <c r="D570" s="30"/>
      <c r="E570" s="31"/>
      <c r="F570" s="20"/>
      <c r="G570" s="20"/>
      <c r="H570" s="30"/>
      <c r="I570" s="24"/>
      <c r="J570" s="24"/>
      <c r="K570" s="24"/>
    </row>
    <row r="571" spans="3:11" x14ac:dyDescent="0.25">
      <c r="C571" s="30"/>
      <c r="D571" s="30"/>
      <c r="E571" s="31"/>
      <c r="F571" s="20"/>
      <c r="G571" s="20"/>
      <c r="H571" s="30"/>
      <c r="I571" s="24"/>
      <c r="J571" s="24"/>
      <c r="K571" s="24"/>
    </row>
    <row r="572" spans="3:11" x14ac:dyDescent="0.25">
      <c r="C572" s="30"/>
      <c r="D572" s="30"/>
      <c r="E572" s="31"/>
      <c r="F572" s="20"/>
      <c r="G572" s="20"/>
      <c r="H572" s="30"/>
      <c r="I572" s="24"/>
      <c r="J572" s="24"/>
      <c r="K572" s="24"/>
    </row>
    <row r="573" spans="3:11" x14ac:dyDescent="0.25">
      <c r="C573" s="30"/>
      <c r="D573" s="30"/>
      <c r="E573" s="31"/>
      <c r="F573" s="20"/>
      <c r="G573" s="20"/>
      <c r="H573" s="30"/>
      <c r="I573" s="24"/>
      <c r="J573" s="24"/>
      <c r="K573" s="24"/>
    </row>
    <row r="574" spans="3:11" x14ac:dyDescent="0.25">
      <c r="C574" s="30"/>
      <c r="D574" s="30"/>
      <c r="E574" s="31"/>
      <c r="F574" s="20"/>
      <c r="G574" s="20"/>
      <c r="H574" s="30"/>
      <c r="I574" s="24"/>
      <c r="J574" s="24"/>
      <c r="K574" s="24"/>
    </row>
    <row r="575" spans="3:11" x14ac:dyDescent="0.25">
      <c r="C575" s="30"/>
      <c r="D575" s="30"/>
      <c r="E575" s="31"/>
      <c r="F575" s="20"/>
      <c r="G575" s="20"/>
      <c r="H575" s="30"/>
      <c r="I575" s="24"/>
      <c r="J575" s="24"/>
      <c r="K575" s="24"/>
    </row>
    <row r="576" spans="3:11" x14ac:dyDescent="0.25">
      <c r="C576" s="30"/>
      <c r="D576" s="30"/>
      <c r="E576" s="31"/>
      <c r="F576" s="20"/>
      <c r="G576" s="20"/>
      <c r="H576" s="30"/>
      <c r="I576" s="24"/>
      <c r="J576" s="24"/>
      <c r="K576" s="24"/>
    </row>
    <row r="577" spans="3:11" x14ac:dyDescent="0.25">
      <c r="C577" s="32"/>
      <c r="D577" s="32"/>
      <c r="E577" s="33"/>
      <c r="F577" s="20"/>
      <c r="G577" s="20"/>
      <c r="H577" s="30"/>
      <c r="I577" s="24"/>
      <c r="J577" s="24"/>
      <c r="K577" s="24"/>
    </row>
    <row r="578" spans="3:11" x14ac:dyDescent="0.25">
      <c r="C578" s="32"/>
      <c r="D578" s="32"/>
      <c r="E578" s="33"/>
      <c r="F578" s="20"/>
      <c r="G578" s="20"/>
      <c r="H578" s="30"/>
      <c r="I578" s="24"/>
      <c r="J578" s="24"/>
      <c r="K578" s="24"/>
    </row>
    <row r="579" spans="3:11" x14ac:dyDescent="0.25">
      <c r="C579" s="32"/>
      <c r="D579" s="32"/>
      <c r="E579" s="33"/>
      <c r="F579" s="20"/>
      <c r="G579" s="20"/>
      <c r="H579" s="30"/>
      <c r="I579" s="24"/>
      <c r="J579" s="24"/>
      <c r="K579" s="24"/>
    </row>
    <row r="580" spans="3:11" x14ac:dyDescent="0.25">
      <c r="C580" s="32"/>
      <c r="D580" s="32"/>
      <c r="E580" s="33"/>
      <c r="F580" s="20"/>
      <c r="G580" s="20"/>
      <c r="H580" s="30"/>
      <c r="I580" s="24"/>
      <c r="J580" s="24"/>
      <c r="K580" s="24"/>
    </row>
    <row r="581" spans="3:11" x14ac:dyDescent="0.25">
      <c r="C581" s="32"/>
      <c r="D581" s="32"/>
      <c r="E581" s="33"/>
      <c r="F581" s="20"/>
      <c r="G581" s="20"/>
      <c r="H581" s="30"/>
      <c r="I581" s="24"/>
      <c r="J581" s="24"/>
      <c r="K581" s="24"/>
    </row>
    <row r="582" spans="3:11" x14ac:dyDescent="0.25">
      <c r="C582" s="32"/>
      <c r="D582" s="32"/>
      <c r="E582" s="33"/>
      <c r="F582" s="20"/>
      <c r="G582" s="20"/>
      <c r="H582" s="30"/>
      <c r="I582" s="24"/>
      <c r="J582" s="24"/>
      <c r="K582" s="24"/>
    </row>
    <row r="583" spans="3:11" x14ac:dyDescent="0.25">
      <c r="C583" s="32"/>
      <c r="D583" s="32"/>
      <c r="E583" s="33"/>
      <c r="F583" s="20"/>
      <c r="G583" s="20"/>
      <c r="H583" s="30"/>
      <c r="I583" s="24"/>
      <c r="J583" s="24"/>
      <c r="K583" s="24"/>
    </row>
    <row r="584" spans="3:11" x14ac:dyDescent="0.25">
      <c r="C584" s="32"/>
      <c r="D584" s="32"/>
      <c r="E584" s="33"/>
      <c r="F584" s="20"/>
      <c r="G584" s="20"/>
      <c r="H584" s="30"/>
      <c r="I584" s="24"/>
      <c r="J584" s="24"/>
      <c r="K584" s="24"/>
    </row>
    <row r="585" spans="3:11" x14ac:dyDescent="0.25">
      <c r="C585" s="32"/>
      <c r="D585" s="32"/>
      <c r="E585" s="33"/>
      <c r="F585" s="20"/>
      <c r="G585" s="20"/>
      <c r="H585" s="30"/>
      <c r="I585" s="24"/>
      <c r="J585" s="24"/>
      <c r="K585" s="24"/>
    </row>
    <row r="586" spans="3:11" x14ac:dyDescent="0.25">
      <c r="C586" s="32"/>
      <c r="D586" s="32"/>
      <c r="E586" s="33"/>
      <c r="F586" s="20"/>
      <c r="G586" s="20"/>
      <c r="H586" s="30"/>
      <c r="I586" s="24"/>
      <c r="J586" s="24"/>
      <c r="K586" s="24"/>
    </row>
    <row r="587" spans="3:11" x14ac:dyDescent="0.25">
      <c r="C587" s="32"/>
      <c r="D587" s="32"/>
      <c r="E587" s="33"/>
      <c r="F587" s="20"/>
      <c r="G587" s="20"/>
      <c r="H587" s="30"/>
      <c r="I587" s="24"/>
      <c r="J587" s="24"/>
      <c r="K587" s="24"/>
    </row>
    <row r="588" spans="3:11" x14ac:dyDescent="0.25">
      <c r="C588" s="32"/>
      <c r="D588" s="32"/>
      <c r="E588" s="33"/>
      <c r="F588" s="20"/>
      <c r="G588" s="20"/>
      <c r="H588" s="30"/>
      <c r="I588" s="24"/>
      <c r="J588" s="24"/>
      <c r="K588" s="24"/>
    </row>
    <row r="589" spans="3:11" x14ac:dyDescent="0.25">
      <c r="C589" s="32"/>
      <c r="D589" s="32"/>
      <c r="E589" s="33"/>
      <c r="F589" s="20"/>
      <c r="G589" s="20"/>
      <c r="H589" s="30"/>
      <c r="I589" s="24"/>
      <c r="J589" s="24"/>
      <c r="K589" s="24"/>
    </row>
    <row r="590" spans="3:11" x14ac:dyDescent="0.25">
      <c r="C590" s="32"/>
      <c r="D590" s="32"/>
      <c r="E590" s="33"/>
      <c r="F590" s="20"/>
      <c r="G590" s="20"/>
      <c r="H590" s="30"/>
      <c r="I590" s="24"/>
      <c r="J590" s="24"/>
      <c r="K590" s="24"/>
    </row>
    <row r="591" spans="3:11" x14ac:dyDescent="0.25">
      <c r="C591" s="32"/>
      <c r="D591" s="30"/>
      <c r="E591" s="33"/>
      <c r="F591" s="20"/>
      <c r="G591" s="20"/>
      <c r="H591" s="30"/>
      <c r="I591" s="24"/>
      <c r="J591" s="24"/>
      <c r="K591" s="24"/>
    </row>
    <row r="592" spans="3:11" x14ac:dyDescent="0.25">
      <c r="C592" s="30"/>
      <c r="D592" s="32"/>
      <c r="E592" s="31"/>
      <c r="F592" s="20"/>
      <c r="G592" s="20"/>
      <c r="H592" s="30"/>
      <c r="I592" s="24"/>
      <c r="J592" s="24"/>
      <c r="K592" s="24"/>
    </row>
    <row r="593" spans="3:11" x14ac:dyDescent="0.25">
      <c r="C593" s="30"/>
      <c r="D593" s="32"/>
      <c r="E593" s="31"/>
      <c r="F593" s="20"/>
      <c r="G593" s="20"/>
      <c r="H593" s="30"/>
      <c r="I593" s="24"/>
      <c r="J593" s="24"/>
      <c r="K593" s="24"/>
    </row>
    <row r="594" spans="3:11" x14ac:dyDescent="0.25">
      <c r="C594" s="30"/>
      <c r="D594" s="32"/>
      <c r="E594" s="31"/>
      <c r="F594" s="20"/>
      <c r="G594" s="20"/>
      <c r="H594" s="30"/>
      <c r="I594" s="24"/>
      <c r="J594" s="24"/>
      <c r="K594" s="24"/>
    </row>
    <row r="595" spans="3:11" x14ac:dyDescent="0.25">
      <c r="C595" s="30"/>
      <c r="D595" s="32"/>
      <c r="E595" s="31"/>
      <c r="F595" s="20"/>
      <c r="G595" s="20"/>
      <c r="H595" s="30"/>
      <c r="I595" s="24"/>
      <c r="J595" s="24"/>
      <c r="K595" s="24"/>
    </row>
    <row r="596" spans="3:11" x14ac:dyDescent="0.25">
      <c r="C596" s="30"/>
      <c r="D596" s="30"/>
      <c r="E596" s="31"/>
      <c r="F596" s="20"/>
      <c r="G596" s="20"/>
      <c r="H596" s="30"/>
      <c r="I596" s="24"/>
      <c r="J596" s="24"/>
      <c r="K596" s="24"/>
    </row>
    <row r="597" spans="3:11" x14ac:dyDescent="0.25">
      <c r="C597" s="30"/>
      <c r="D597" s="32"/>
      <c r="E597" s="31"/>
      <c r="F597" s="20"/>
      <c r="G597" s="20"/>
      <c r="H597" s="30"/>
      <c r="I597" s="24"/>
      <c r="J597" s="24"/>
      <c r="K597" s="24"/>
    </row>
    <row r="598" spans="3:11" x14ac:dyDescent="0.25">
      <c r="C598" s="30"/>
      <c r="D598" s="32"/>
      <c r="E598" s="31"/>
      <c r="F598" s="20"/>
      <c r="G598" s="20"/>
      <c r="H598" s="30"/>
      <c r="I598" s="24"/>
      <c r="J598" s="24"/>
      <c r="K598" s="24"/>
    </row>
    <row r="599" spans="3:11" x14ac:dyDescent="0.25">
      <c r="C599" s="30"/>
      <c r="D599" s="32"/>
      <c r="E599" s="31"/>
      <c r="F599" s="20"/>
      <c r="G599" s="20"/>
      <c r="H599" s="30"/>
      <c r="I599" s="24"/>
      <c r="J599" s="24"/>
      <c r="K599" s="24"/>
    </row>
    <row r="600" spans="3:11" x14ac:dyDescent="0.25">
      <c r="C600" s="30"/>
      <c r="D600" s="32"/>
      <c r="E600" s="31"/>
      <c r="F600" s="20"/>
      <c r="G600" s="20"/>
      <c r="H600" s="30"/>
      <c r="I600" s="24"/>
      <c r="J600" s="24"/>
      <c r="K600" s="24"/>
    </row>
    <row r="601" spans="3:11" x14ac:dyDescent="0.25">
      <c r="C601" s="30"/>
      <c r="D601" s="32"/>
      <c r="E601" s="31"/>
      <c r="F601" s="20"/>
      <c r="G601" s="20"/>
      <c r="H601" s="30"/>
      <c r="I601" s="24"/>
      <c r="J601" s="24"/>
      <c r="K601" s="24"/>
    </row>
    <row r="602" spans="3:11" x14ac:dyDescent="0.25">
      <c r="C602" s="30"/>
      <c r="D602" s="32"/>
      <c r="E602" s="31"/>
      <c r="F602" s="20"/>
      <c r="G602" s="20"/>
      <c r="H602" s="30"/>
      <c r="I602" s="24"/>
      <c r="J602" s="24"/>
      <c r="K602" s="24"/>
    </row>
    <row r="603" spans="3:11" x14ac:dyDescent="0.25">
      <c r="C603" s="30"/>
      <c r="D603" s="32"/>
      <c r="E603" s="31"/>
      <c r="F603" s="20"/>
      <c r="G603" s="20"/>
      <c r="H603" s="30"/>
      <c r="I603" s="24"/>
      <c r="J603" s="24"/>
      <c r="K603" s="24"/>
    </row>
    <row r="604" spans="3:11" x14ac:dyDescent="0.25">
      <c r="C604" s="30"/>
      <c r="D604" s="30"/>
      <c r="E604" s="31"/>
      <c r="F604" s="20"/>
      <c r="G604" s="20"/>
      <c r="H604" s="30"/>
      <c r="I604" s="24"/>
      <c r="J604" s="24"/>
      <c r="K604" s="24"/>
    </row>
    <row r="605" spans="3:11" x14ac:dyDescent="0.25">
      <c r="C605" s="30"/>
      <c r="D605" s="30"/>
      <c r="E605" s="31"/>
      <c r="F605" s="20"/>
      <c r="G605" s="20"/>
      <c r="H605" s="30"/>
      <c r="I605" s="24"/>
      <c r="J605" s="24"/>
      <c r="K605" s="24"/>
    </row>
    <row r="606" spans="3:11" x14ac:dyDescent="0.25">
      <c r="C606" s="30"/>
      <c r="D606" s="30"/>
      <c r="E606" s="34"/>
      <c r="F606" s="20"/>
      <c r="G606" s="20"/>
      <c r="H606" s="30"/>
      <c r="I606" s="24"/>
      <c r="J606" s="24"/>
      <c r="K606" s="24"/>
    </row>
    <row r="607" spans="3:11" x14ac:dyDescent="0.25">
      <c r="C607" s="30"/>
      <c r="D607" s="30"/>
      <c r="E607" s="34"/>
      <c r="F607" s="20"/>
      <c r="G607" s="20"/>
      <c r="H607" s="30"/>
      <c r="I607" s="24"/>
      <c r="J607" s="24"/>
      <c r="K607" s="24"/>
    </row>
    <row r="608" spans="3:11" x14ac:dyDescent="0.25">
      <c r="C608" s="30"/>
      <c r="D608" s="30"/>
      <c r="E608" s="34"/>
      <c r="F608" s="20"/>
      <c r="G608" s="20"/>
      <c r="H608" s="30"/>
      <c r="I608" s="24"/>
      <c r="J608" s="24"/>
      <c r="K608" s="24"/>
    </row>
    <row r="609" spans="3:11" x14ac:dyDescent="0.25">
      <c r="C609" s="30"/>
      <c r="D609" s="30"/>
      <c r="E609" s="34"/>
      <c r="F609" s="20"/>
      <c r="G609" s="20"/>
      <c r="H609" s="30"/>
      <c r="I609" s="24"/>
      <c r="J609" s="24"/>
      <c r="K609" s="24"/>
    </row>
    <row r="610" spans="3:11" x14ac:dyDescent="0.25">
      <c r="C610" s="30"/>
      <c r="D610" s="30"/>
      <c r="E610" s="34"/>
      <c r="F610" s="20"/>
      <c r="G610" s="20"/>
      <c r="H610" s="30"/>
      <c r="I610" s="24"/>
      <c r="J610" s="24"/>
      <c r="K610" s="24"/>
    </row>
    <row r="611" spans="3:11" x14ac:dyDescent="0.25">
      <c r="C611" s="30"/>
      <c r="D611" s="30"/>
      <c r="E611" s="34"/>
      <c r="F611" s="20"/>
      <c r="G611" s="20"/>
      <c r="H611" s="30"/>
      <c r="I611" s="24"/>
      <c r="J611" s="24"/>
      <c r="K611" s="24"/>
    </row>
    <row r="612" spans="3:11" x14ac:dyDescent="0.25">
      <c r="C612" s="30"/>
      <c r="D612" s="30"/>
      <c r="E612" s="34"/>
      <c r="F612" s="20"/>
      <c r="G612" s="20"/>
      <c r="H612" s="30"/>
      <c r="I612" s="24"/>
      <c r="J612" s="24"/>
      <c r="K612" s="24"/>
    </row>
    <row r="613" spans="3:11" x14ac:dyDescent="0.25">
      <c r="C613" s="30"/>
      <c r="D613" s="30"/>
      <c r="E613" s="34"/>
      <c r="F613" s="20"/>
      <c r="G613" s="20"/>
      <c r="H613" s="30"/>
      <c r="I613" s="24"/>
      <c r="J613" s="24"/>
      <c r="K613" s="24"/>
    </row>
    <row r="614" spans="3:11" x14ac:dyDescent="0.25">
      <c r="C614" s="30"/>
      <c r="D614" s="30"/>
      <c r="E614" s="34"/>
      <c r="F614" s="20"/>
      <c r="G614" s="20"/>
      <c r="H614" s="30"/>
      <c r="I614" s="24"/>
      <c r="J614" s="24"/>
      <c r="K614" s="24"/>
    </row>
    <row r="615" spans="3:11" x14ac:dyDescent="0.25">
      <c r="C615" s="30"/>
      <c r="D615" s="30"/>
      <c r="E615" s="34"/>
      <c r="F615" s="20"/>
      <c r="G615" s="20"/>
      <c r="H615" s="30"/>
      <c r="I615" s="24"/>
      <c r="J615" s="24"/>
      <c r="K615" s="24"/>
    </row>
    <row r="616" spans="3:11" x14ac:dyDescent="0.25">
      <c r="C616" s="30"/>
      <c r="D616" s="30"/>
      <c r="E616" s="34"/>
      <c r="F616" s="20"/>
      <c r="G616" s="20"/>
      <c r="H616" s="30"/>
      <c r="I616" s="24"/>
      <c r="J616" s="24"/>
      <c r="K616" s="24"/>
    </row>
    <row r="617" spans="3:11" x14ac:dyDescent="0.25">
      <c r="C617" s="30"/>
      <c r="D617" s="30"/>
      <c r="E617" s="34"/>
      <c r="F617" s="20"/>
      <c r="G617" s="20"/>
      <c r="H617" s="30"/>
      <c r="I617" s="24"/>
      <c r="J617" s="24"/>
      <c r="K617" s="24"/>
    </row>
    <row r="618" spans="3:11" x14ac:dyDescent="0.25">
      <c r="C618" s="30"/>
      <c r="D618" s="30"/>
      <c r="E618" s="31"/>
      <c r="F618" s="20"/>
      <c r="G618" s="20"/>
      <c r="H618" s="30"/>
      <c r="I618" s="24"/>
      <c r="J618" s="24"/>
      <c r="K618" s="24"/>
    </row>
    <row r="619" spans="3:11" x14ac:dyDescent="0.25">
      <c r="C619" s="30"/>
      <c r="D619" s="30"/>
      <c r="E619" s="34"/>
      <c r="F619" s="20"/>
      <c r="G619" s="20"/>
      <c r="H619" s="30"/>
      <c r="I619" s="24"/>
      <c r="J619" s="24"/>
      <c r="K619" s="24"/>
    </row>
    <row r="620" spans="3:11" x14ac:dyDescent="0.25">
      <c r="C620" s="30"/>
      <c r="D620" s="30"/>
      <c r="E620" s="31"/>
      <c r="F620" s="20"/>
      <c r="G620" s="20"/>
      <c r="H620" s="30"/>
      <c r="I620" s="24"/>
      <c r="J620" s="24"/>
      <c r="K620" s="24"/>
    </row>
    <row r="621" spans="3:11" x14ac:dyDescent="0.25">
      <c r="C621" s="30"/>
      <c r="D621" s="30"/>
      <c r="E621" s="34"/>
      <c r="F621" s="20"/>
      <c r="G621" s="20"/>
      <c r="H621" s="30"/>
      <c r="I621" s="24"/>
      <c r="J621" s="24"/>
      <c r="K621" s="24"/>
    </row>
    <row r="622" spans="3:11" x14ac:dyDescent="0.25">
      <c r="C622" s="32"/>
      <c r="D622" s="32"/>
      <c r="E622" s="34"/>
      <c r="F622" s="20"/>
      <c r="G622" s="20"/>
      <c r="H622" s="30"/>
      <c r="I622" s="24"/>
      <c r="J622" s="24"/>
      <c r="K622" s="24"/>
    </row>
    <row r="623" spans="3:11" x14ac:dyDescent="0.25">
      <c r="C623" s="30"/>
      <c r="D623" s="30"/>
      <c r="E623" s="31"/>
      <c r="F623" s="20"/>
      <c r="G623" s="20"/>
      <c r="H623" s="30"/>
      <c r="I623" s="24"/>
      <c r="J623" s="24"/>
      <c r="K623" s="24"/>
    </row>
    <row r="624" spans="3:11" x14ac:dyDescent="0.25">
      <c r="C624" s="30"/>
      <c r="D624" s="30"/>
      <c r="E624" s="31"/>
      <c r="F624" s="20"/>
      <c r="G624" s="20"/>
      <c r="H624" s="30"/>
      <c r="I624" s="24"/>
      <c r="J624" s="24"/>
      <c r="K624" s="24"/>
    </row>
    <row r="625" spans="3:11" x14ac:dyDescent="0.25">
      <c r="C625" s="30"/>
      <c r="D625" s="30"/>
      <c r="E625" s="31"/>
      <c r="F625" s="20"/>
      <c r="G625" s="20"/>
      <c r="H625" s="30"/>
      <c r="I625" s="24"/>
      <c r="J625" s="24"/>
      <c r="K625" s="24"/>
    </row>
    <row r="626" spans="3:11" x14ac:dyDescent="0.25">
      <c r="C626" s="32"/>
      <c r="D626" s="32"/>
      <c r="E626" s="34"/>
      <c r="F626" s="20"/>
      <c r="G626" s="20"/>
      <c r="H626" s="30"/>
      <c r="I626" s="24"/>
      <c r="J626" s="24"/>
      <c r="K626" s="24"/>
    </row>
    <row r="627" spans="3:11" x14ac:dyDescent="0.25">
      <c r="C627" s="32"/>
      <c r="D627" s="32"/>
      <c r="E627" s="34"/>
      <c r="F627" s="20"/>
      <c r="G627" s="20"/>
      <c r="H627" s="30"/>
      <c r="I627" s="24"/>
      <c r="J627" s="24"/>
      <c r="K627" s="24"/>
    </row>
    <row r="628" spans="3:11" x14ac:dyDescent="0.25">
      <c r="C628" s="32"/>
      <c r="D628" s="32"/>
      <c r="E628" s="34"/>
      <c r="F628" s="20"/>
      <c r="G628" s="20"/>
      <c r="H628" s="30"/>
      <c r="I628" s="24"/>
      <c r="J628" s="24"/>
      <c r="K628" s="24"/>
    </row>
    <row r="629" spans="3:11" x14ac:dyDescent="0.25">
      <c r="C629" s="32"/>
      <c r="D629" s="32"/>
      <c r="E629" s="34"/>
      <c r="F629" s="20"/>
      <c r="G629" s="20"/>
      <c r="H629" s="30"/>
      <c r="I629" s="24"/>
      <c r="J629" s="24"/>
      <c r="K629" s="24"/>
    </row>
    <row r="630" spans="3:11" x14ac:dyDescent="0.25">
      <c r="C630" s="32"/>
      <c r="D630" s="32"/>
      <c r="E630" s="34"/>
      <c r="F630" s="20"/>
      <c r="G630" s="20"/>
      <c r="H630" s="30"/>
      <c r="I630" s="24"/>
      <c r="J630" s="24"/>
      <c r="K630" s="24"/>
    </row>
    <row r="631" spans="3:11" x14ac:dyDescent="0.25">
      <c r="C631" s="30"/>
      <c r="D631" s="30"/>
      <c r="E631" s="31"/>
      <c r="F631" s="20"/>
      <c r="G631" s="20"/>
      <c r="H631" s="30"/>
      <c r="I631" s="24"/>
      <c r="J631" s="24"/>
      <c r="K631" s="24"/>
    </row>
    <row r="632" spans="3:11" x14ac:dyDescent="0.25">
      <c r="C632" s="30"/>
      <c r="D632" s="30"/>
      <c r="E632" s="31"/>
      <c r="F632" s="20"/>
      <c r="G632" s="20"/>
      <c r="H632" s="30"/>
      <c r="I632" s="24"/>
      <c r="J632" s="24"/>
      <c r="K632" s="24"/>
    </row>
    <row r="633" spans="3:11" x14ac:dyDescent="0.25">
      <c r="C633" s="30"/>
      <c r="D633" s="30"/>
      <c r="E633" s="31"/>
      <c r="F633" s="20"/>
      <c r="G633" s="20"/>
      <c r="H633" s="30"/>
      <c r="I633" s="24"/>
      <c r="J633" s="24"/>
      <c r="K633" s="24"/>
    </row>
    <row r="634" spans="3:11" x14ac:dyDescent="0.25">
      <c r="C634" s="30"/>
      <c r="D634" s="30"/>
      <c r="E634" s="31"/>
      <c r="F634" s="20"/>
      <c r="G634" s="20"/>
      <c r="H634" s="30"/>
      <c r="I634" s="24"/>
      <c r="J634" s="24"/>
      <c r="K634" s="24"/>
    </row>
    <row r="635" spans="3:11" x14ac:dyDescent="0.25">
      <c r="C635" s="20"/>
      <c r="D635" s="9"/>
      <c r="F635" s="35"/>
      <c r="G635" s="35"/>
      <c r="H635" s="35"/>
      <c r="I635" s="24"/>
      <c r="J635" s="24"/>
      <c r="K635" s="24"/>
    </row>
    <row r="636" spans="3:11" x14ac:dyDescent="0.25">
      <c r="D636" s="9"/>
      <c r="F636" s="35"/>
      <c r="G636" s="35"/>
      <c r="H636" s="35"/>
      <c r="I636" s="24"/>
      <c r="J636" s="24"/>
      <c r="K636" s="24"/>
    </row>
    <row r="637" spans="3:11" x14ac:dyDescent="0.25">
      <c r="D637" s="9"/>
      <c r="F637" s="35"/>
      <c r="G637" s="35"/>
      <c r="H637" s="35"/>
      <c r="I637" s="24"/>
      <c r="J637" s="24"/>
      <c r="K637" s="24"/>
    </row>
    <row r="638" spans="3:11" x14ac:dyDescent="0.25">
      <c r="D638" s="9"/>
      <c r="F638" s="35"/>
      <c r="G638" s="35"/>
      <c r="H638" s="35"/>
      <c r="I638" s="24"/>
      <c r="J638" s="24"/>
      <c r="K638" s="24"/>
    </row>
    <row r="639" spans="3:11" x14ac:dyDescent="0.25">
      <c r="D639" s="9"/>
      <c r="F639" s="35"/>
      <c r="G639" s="35"/>
      <c r="H639" s="35"/>
      <c r="I639" s="24"/>
      <c r="J639" s="24"/>
      <c r="K639" s="24"/>
    </row>
    <row r="640" spans="3:11" x14ac:dyDescent="0.25">
      <c r="D640" s="9"/>
      <c r="F640" s="35"/>
      <c r="G640" s="35"/>
      <c r="H640" s="35"/>
      <c r="I640" s="24"/>
      <c r="J640" s="24"/>
      <c r="K640" s="24"/>
    </row>
    <row r="641" spans="4:11" x14ac:dyDescent="0.25">
      <c r="D641" s="9"/>
      <c r="F641" s="35"/>
      <c r="G641" s="35"/>
      <c r="H641" s="35"/>
      <c r="I641" s="24"/>
      <c r="J641" s="24"/>
      <c r="K641" s="24"/>
    </row>
    <row r="642" spans="4:11" x14ac:dyDescent="0.25">
      <c r="D642" s="9"/>
      <c r="F642" s="35"/>
      <c r="G642" s="35"/>
      <c r="H642" s="35"/>
      <c r="I642" s="24"/>
      <c r="J642" s="24"/>
      <c r="K642" s="24"/>
    </row>
    <row r="643" spans="4:11" x14ac:dyDescent="0.25">
      <c r="D643" s="9"/>
      <c r="F643" s="35"/>
      <c r="G643" s="35"/>
      <c r="H643" s="35"/>
      <c r="I643" s="24"/>
      <c r="J643" s="24"/>
      <c r="K643" s="24"/>
    </row>
    <row r="644" spans="4:11" x14ac:dyDescent="0.25">
      <c r="D644" s="9"/>
      <c r="F644" s="35"/>
      <c r="G644" s="35"/>
      <c r="H644" s="35"/>
      <c r="I644" s="24"/>
      <c r="J644" s="24"/>
      <c r="K644" s="24"/>
    </row>
    <row r="645" spans="4:11" x14ac:dyDescent="0.25">
      <c r="D645" s="9"/>
      <c r="F645" s="35"/>
      <c r="G645" s="35"/>
      <c r="H645" s="35"/>
      <c r="I645" s="24"/>
      <c r="J645" s="24"/>
      <c r="K645" s="24"/>
    </row>
    <row r="646" spans="4:11" x14ac:dyDescent="0.25">
      <c r="D646" s="9"/>
      <c r="F646" s="35"/>
      <c r="G646" s="35"/>
      <c r="H646" s="35"/>
      <c r="I646" s="24"/>
      <c r="J646" s="24"/>
      <c r="K646" s="24"/>
    </row>
    <row r="647" spans="4:11" x14ac:dyDescent="0.25">
      <c r="D647" s="9"/>
      <c r="F647" s="35"/>
      <c r="G647" s="35"/>
      <c r="H647" s="35"/>
      <c r="I647" s="24"/>
      <c r="J647" s="24"/>
      <c r="K647" s="24"/>
    </row>
    <row r="648" spans="4:11" x14ac:dyDescent="0.25">
      <c r="D648" s="9"/>
      <c r="F648" s="35"/>
      <c r="G648" s="35"/>
      <c r="H648" s="35"/>
      <c r="I648" s="24"/>
      <c r="J648" s="24"/>
      <c r="K648" s="24"/>
    </row>
    <row r="649" spans="4:11" x14ac:dyDescent="0.25">
      <c r="D649" s="9"/>
      <c r="F649" s="35"/>
      <c r="G649" s="35"/>
      <c r="H649" s="35"/>
      <c r="I649" s="24"/>
      <c r="J649" s="24"/>
      <c r="K649" s="24"/>
    </row>
    <row r="650" spans="4:11" x14ac:dyDescent="0.25">
      <c r="D650" s="9"/>
      <c r="F650" s="35"/>
      <c r="G650" s="35"/>
      <c r="H650" s="35"/>
      <c r="I650" s="24"/>
      <c r="J650" s="24"/>
      <c r="K650" s="24"/>
    </row>
    <row r="651" spans="4:11" x14ac:dyDescent="0.25">
      <c r="D651" s="9"/>
      <c r="F651" s="35"/>
      <c r="G651" s="35"/>
      <c r="H651" s="35"/>
      <c r="I651" s="24"/>
      <c r="J651" s="24"/>
      <c r="K651" s="24"/>
    </row>
    <row r="652" spans="4:11" x14ac:dyDescent="0.25">
      <c r="D652" s="9"/>
      <c r="F652" s="35"/>
      <c r="G652" s="35"/>
      <c r="H652" s="35"/>
      <c r="I652" s="24"/>
      <c r="J652" s="24"/>
      <c r="K652" s="24"/>
    </row>
    <row r="653" spans="4:11" x14ac:dyDescent="0.25">
      <c r="D653" s="9"/>
      <c r="F653" s="35"/>
      <c r="G653" s="35"/>
      <c r="H653" s="35"/>
      <c r="I653" s="24"/>
      <c r="J653" s="24"/>
      <c r="K653" s="24"/>
    </row>
    <row r="654" spans="4:11" x14ac:dyDescent="0.25">
      <c r="D654" s="9"/>
      <c r="F654" s="35"/>
      <c r="G654" s="35"/>
      <c r="H654" s="35"/>
      <c r="I654" s="24"/>
      <c r="J654" s="24"/>
      <c r="K654" s="24"/>
    </row>
    <row r="655" spans="4:11" x14ac:dyDescent="0.25">
      <c r="D655" s="9"/>
      <c r="F655" s="35"/>
      <c r="G655" s="35"/>
      <c r="H655" s="35"/>
      <c r="I655" s="24"/>
      <c r="J655" s="24"/>
      <c r="K655" s="24"/>
    </row>
    <row r="656" spans="4:11" x14ac:dyDescent="0.25">
      <c r="D656" s="9"/>
      <c r="F656" s="35"/>
      <c r="G656" s="35"/>
      <c r="H656" s="35"/>
      <c r="I656" s="24"/>
      <c r="J656" s="24"/>
      <c r="K656" s="24"/>
    </row>
    <row r="657" spans="4:11" x14ac:dyDescent="0.25">
      <c r="D657" s="9"/>
      <c r="F657" s="35"/>
      <c r="G657" s="35"/>
      <c r="H657" s="35"/>
      <c r="I657" s="24"/>
      <c r="J657" s="24"/>
      <c r="K657" s="24"/>
    </row>
    <row r="658" spans="4:11" x14ac:dyDescent="0.25">
      <c r="D658" s="9"/>
      <c r="F658" s="35"/>
      <c r="G658" s="35"/>
      <c r="H658" s="35"/>
      <c r="I658" s="24"/>
      <c r="J658" s="24"/>
      <c r="K658" s="24"/>
    </row>
    <row r="659" spans="4:11" x14ac:dyDescent="0.25">
      <c r="D659" s="9"/>
      <c r="F659" s="35"/>
      <c r="G659" s="35"/>
      <c r="H659" s="35"/>
      <c r="I659" s="24"/>
      <c r="J659" s="24"/>
      <c r="K659" s="24"/>
    </row>
    <row r="660" spans="4:11" x14ac:dyDescent="0.25">
      <c r="D660" s="9"/>
      <c r="F660" s="35"/>
      <c r="G660" s="35"/>
      <c r="H660" s="35"/>
      <c r="I660" s="24"/>
      <c r="J660" s="24"/>
      <c r="K660" s="24"/>
    </row>
    <row r="661" spans="4:11" x14ac:dyDescent="0.25">
      <c r="D661" s="9"/>
      <c r="F661" s="35"/>
      <c r="G661" s="35"/>
      <c r="H661" s="35"/>
      <c r="I661" s="24"/>
      <c r="J661" s="24"/>
      <c r="K661" s="24"/>
    </row>
    <row r="662" spans="4:11" x14ac:dyDescent="0.25">
      <c r="D662" s="9"/>
      <c r="F662" s="35"/>
      <c r="G662" s="35"/>
      <c r="H662" s="35"/>
      <c r="I662" s="24"/>
      <c r="J662" s="24"/>
      <c r="K662" s="24"/>
    </row>
    <row r="663" spans="4:11" x14ac:dyDescent="0.25">
      <c r="D663" s="9"/>
      <c r="F663" s="35"/>
      <c r="G663" s="35"/>
      <c r="H663" s="35"/>
      <c r="I663" s="24"/>
      <c r="J663" s="24"/>
      <c r="K663" s="24"/>
    </row>
    <row r="664" spans="4:11" x14ac:dyDescent="0.25">
      <c r="D664" s="9"/>
      <c r="F664" s="35"/>
      <c r="G664" s="35"/>
      <c r="H664" s="35"/>
      <c r="I664" s="24"/>
      <c r="J664" s="24"/>
      <c r="K664" s="24"/>
    </row>
    <row r="665" spans="4:11" x14ac:dyDescent="0.25">
      <c r="D665" s="9"/>
      <c r="F665" s="35"/>
      <c r="G665" s="35"/>
      <c r="H665" s="35"/>
      <c r="I665" s="24"/>
      <c r="J665" s="24"/>
      <c r="K665" s="24"/>
    </row>
    <row r="666" spans="4:11" x14ac:dyDescent="0.25">
      <c r="D666" s="9"/>
      <c r="F666" s="35"/>
      <c r="G666" s="35"/>
      <c r="H666" s="35"/>
      <c r="I666" s="24"/>
      <c r="J666" s="24"/>
      <c r="K666" s="24"/>
    </row>
    <row r="667" spans="4:11" x14ac:dyDescent="0.25">
      <c r="D667" s="9"/>
      <c r="F667" s="35"/>
      <c r="G667" s="35"/>
      <c r="H667" s="35"/>
      <c r="I667" s="24"/>
      <c r="J667" s="24"/>
      <c r="K667" s="24"/>
    </row>
    <row r="668" spans="4:11" x14ac:dyDescent="0.25">
      <c r="D668" s="9"/>
      <c r="F668" s="35"/>
      <c r="G668" s="35"/>
      <c r="H668" s="35"/>
      <c r="I668" s="24"/>
      <c r="J668" s="24"/>
      <c r="K668" s="24"/>
    </row>
    <row r="669" spans="4:11" x14ac:dyDescent="0.25">
      <c r="D669" s="9"/>
      <c r="F669" s="35"/>
      <c r="G669" s="35"/>
      <c r="H669" s="35"/>
      <c r="I669" s="24"/>
      <c r="J669" s="24"/>
      <c r="K669" s="24"/>
    </row>
    <row r="670" spans="4:11" x14ac:dyDescent="0.25">
      <c r="D670" s="9"/>
      <c r="F670" s="35"/>
      <c r="G670" s="35"/>
      <c r="H670" s="35"/>
      <c r="I670" s="24"/>
      <c r="J670" s="24"/>
      <c r="K670" s="24"/>
    </row>
    <row r="671" spans="4:11" x14ac:dyDescent="0.25">
      <c r="D671" s="9"/>
      <c r="F671" s="35"/>
      <c r="G671" s="35"/>
      <c r="H671" s="35"/>
      <c r="I671" s="24"/>
      <c r="J671" s="24"/>
      <c r="K671" s="24"/>
    </row>
    <row r="672" spans="4:11" x14ac:dyDescent="0.25">
      <c r="D672" s="9"/>
      <c r="F672" s="35"/>
      <c r="G672" s="35"/>
      <c r="H672" s="35"/>
      <c r="I672" s="24"/>
      <c r="J672" s="24"/>
      <c r="K672" s="24"/>
    </row>
    <row r="673" spans="4:11" x14ac:dyDescent="0.25">
      <c r="D673" s="9"/>
      <c r="F673" s="35"/>
      <c r="G673" s="35"/>
      <c r="H673" s="35"/>
      <c r="I673" s="24"/>
      <c r="J673" s="24"/>
      <c r="K673" s="24"/>
    </row>
    <row r="674" spans="4:11" x14ac:dyDescent="0.25">
      <c r="D674" s="9"/>
      <c r="F674" s="35"/>
      <c r="G674" s="35"/>
      <c r="H674" s="35"/>
      <c r="I674" s="24"/>
      <c r="J674" s="24"/>
      <c r="K674" s="24"/>
    </row>
    <row r="675" spans="4:11" x14ac:dyDescent="0.25">
      <c r="D675" s="9"/>
      <c r="F675" s="35"/>
      <c r="G675" s="35"/>
      <c r="H675" s="35"/>
      <c r="I675" s="24"/>
      <c r="J675" s="24"/>
      <c r="K675" s="24"/>
    </row>
    <row r="676" spans="4:11" x14ac:dyDescent="0.25">
      <c r="D676" s="9"/>
      <c r="F676" s="35"/>
      <c r="G676" s="35"/>
      <c r="H676" s="35"/>
      <c r="I676" s="24"/>
      <c r="J676" s="24"/>
      <c r="K676" s="24"/>
    </row>
    <row r="677" spans="4:11" x14ac:dyDescent="0.25">
      <c r="D677" s="9"/>
      <c r="F677" s="35"/>
      <c r="G677" s="35"/>
      <c r="H677" s="35"/>
      <c r="I677" s="24"/>
      <c r="J677" s="24"/>
      <c r="K677" s="24"/>
    </row>
    <row r="678" spans="4:11" x14ac:dyDescent="0.25">
      <c r="D678" s="9"/>
      <c r="F678" s="35"/>
      <c r="G678" s="35"/>
      <c r="H678" s="35"/>
      <c r="I678" s="24"/>
      <c r="J678" s="24"/>
      <c r="K678" s="24"/>
    </row>
    <row r="679" spans="4:11" x14ac:dyDescent="0.25">
      <c r="D679" s="9"/>
      <c r="F679" s="35"/>
      <c r="G679" s="35"/>
      <c r="H679" s="35"/>
      <c r="I679" s="24"/>
      <c r="J679" s="24"/>
      <c r="K679" s="24"/>
    </row>
    <row r="680" spans="4:11" x14ac:dyDescent="0.25">
      <c r="D680" s="9"/>
      <c r="F680" s="35"/>
      <c r="G680" s="35"/>
      <c r="H680" s="35"/>
      <c r="I680" s="24"/>
      <c r="J680" s="24"/>
      <c r="K680" s="24"/>
    </row>
    <row r="681" spans="4:11" x14ac:dyDescent="0.25">
      <c r="D681" s="9"/>
      <c r="F681" s="35"/>
      <c r="G681" s="35"/>
      <c r="H681" s="35"/>
      <c r="I681" s="24"/>
      <c r="J681" s="24"/>
      <c r="K681" s="24"/>
    </row>
    <row r="682" spans="4:11" x14ac:dyDescent="0.25">
      <c r="D682" s="9"/>
      <c r="F682" s="35"/>
      <c r="G682" s="35"/>
      <c r="H682" s="35"/>
      <c r="I682" s="24"/>
      <c r="J682" s="24"/>
      <c r="K682" s="24"/>
    </row>
    <row r="683" spans="4:11" x14ac:dyDescent="0.25">
      <c r="D683" s="9"/>
      <c r="F683" s="35"/>
      <c r="G683" s="35"/>
      <c r="H683" s="35"/>
      <c r="I683" s="24"/>
      <c r="J683" s="24"/>
      <c r="K683" s="24"/>
    </row>
    <row r="684" spans="4:11" x14ac:dyDescent="0.25">
      <c r="D684" s="9"/>
      <c r="F684" s="35"/>
      <c r="G684" s="35"/>
      <c r="H684" s="35"/>
      <c r="I684" s="24"/>
      <c r="J684" s="24"/>
      <c r="K684" s="24"/>
    </row>
    <row r="685" spans="4:11" x14ac:dyDescent="0.25">
      <c r="D685" s="9"/>
      <c r="F685" s="35"/>
      <c r="G685" s="35"/>
      <c r="H685" s="35"/>
      <c r="I685" s="24"/>
      <c r="J685" s="24"/>
      <c r="K685" s="24"/>
    </row>
    <row r="686" spans="4:11" x14ac:dyDescent="0.25">
      <c r="D686" s="9"/>
      <c r="F686" s="35"/>
      <c r="G686" s="35"/>
      <c r="H686" s="35"/>
      <c r="I686" s="24"/>
      <c r="J686" s="24"/>
      <c r="K686" s="24"/>
    </row>
    <row r="687" spans="4:11" x14ac:dyDescent="0.25">
      <c r="D687" s="9"/>
      <c r="F687" s="35"/>
      <c r="G687" s="35"/>
      <c r="H687" s="9"/>
    </row>
    <row r="688" spans="4:11" x14ac:dyDescent="0.25">
      <c r="D688" s="9"/>
      <c r="F688" s="35"/>
      <c r="G688" s="35"/>
      <c r="H688" s="9"/>
    </row>
    <row r="689" spans="4:8" x14ac:dyDescent="0.25">
      <c r="D689" s="9"/>
      <c r="F689" s="35"/>
      <c r="G689" s="35"/>
      <c r="H689" s="9"/>
    </row>
    <row r="690" spans="4:8" x14ac:dyDescent="0.25">
      <c r="D690" s="7"/>
      <c r="F690" s="23"/>
      <c r="G690" s="19"/>
    </row>
    <row r="691" spans="4:8" x14ac:dyDescent="0.25">
      <c r="D691" s="7"/>
      <c r="F691" s="23"/>
      <c r="G691" s="19"/>
    </row>
    <row r="692" spans="4:8" x14ac:dyDescent="0.25">
      <c r="D692" s="7"/>
      <c r="F692" s="23"/>
      <c r="G692" s="19"/>
    </row>
    <row r="693" spans="4:8" x14ac:dyDescent="0.25">
      <c r="D693" s="7"/>
      <c r="F693" s="23"/>
      <c r="G693" s="19"/>
    </row>
    <row r="694" spans="4:8" x14ac:dyDescent="0.25">
      <c r="D694" s="7"/>
      <c r="F694" s="23"/>
      <c r="G694" s="19"/>
    </row>
    <row r="695" spans="4:8" x14ac:dyDescent="0.25">
      <c r="D695" s="7"/>
      <c r="F695" s="23"/>
      <c r="G695" s="19"/>
    </row>
    <row r="696" spans="4:8" x14ac:dyDescent="0.25">
      <c r="D696" s="7"/>
      <c r="F696" s="23"/>
      <c r="G696" s="19"/>
    </row>
    <row r="697" spans="4:8" x14ac:dyDescent="0.25">
      <c r="D697" s="7"/>
      <c r="F697" s="23"/>
      <c r="G697" s="19"/>
    </row>
    <row r="698" spans="4:8" x14ac:dyDescent="0.25">
      <c r="D698" s="7"/>
      <c r="F698" s="23"/>
      <c r="G698" s="19"/>
    </row>
    <row r="699" spans="4:8" x14ac:dyDescent="0.25">
      <c r="D699" s="7"/>
      <c r="F699" s="23"/>
      <c r="G699" s="19"/>
    </row>
    <row r="700" spans="4:8" x14ac:dyDescent="0.25">
      <c r="D700" s="7"/>
      <c r="F700" s="23"/>
      <c r="G700" s="19"/>
    </row>
    <row r="701" spans="4:8" x14ac:dyDescent="0.25">
      <c r="D701" s="7"/>
      <c r="F701" s="23"/>
      <c r="G701" s="19"/>
    </row>
    <row r="702" spans="4:8" x14ac:dyDescent="0.25">
      <c r="D702" s="7"/>
      <c r="F702" s="23"/>
      <c r="G702" s="19"/>
    </row>
    <row r="703" spans="4:8" x14ac:dyDescent="0.25">
      <c r="D703" s="7"/>
      <c r="F703" s="23"/>
      <c r="G703" s="19"/>
    </row>
    <row r="704" spans="4:8" x14ac:dyDescent="0.25">
      <c r="D704" s="7"/>
      <c r="F704" s="23"/>
      <c r="G704" s="19"/>
    </row>
    <row r="705" spans="3:8" x14ac:dyDescent="0.25">
      <c r="D705" s="7"/>
      <c r="F705" s="23"/>
      <c r="G705" s="19"/>
    </row>
    <row r="706" spans="3:8" x14ac:dyDescent="0.25">
      <c r="D706" s="7"/>
      <c r="F706" s="23"/>
      <c r="G706" s="19"/>
    </row>
    <row r="707" spans="3:8" x14ac:dyDescent="0.25">
      <c r="D707" s="7"/>
      <c r="F707" s="23"/>
      <c r="G707" s="19"/>
    </row>
    <row r="708" spans="3:8" x14ac:dyDescent="0.25">
      <c r="D708" s="7"/>
      <c r="F708" s="23"/>
      <c r="G708" s="19"/>
    </row>
    <row r="709" spans="3:8" x14ac:dyDescent="0.25">
      <c r="D709" s="7"/>
      <c r="F709" s="23"/>
      <c r="G709" s="19"/>
    </row>
    <row r="710" spans="3:8" x14ac:dyDescent="0.25">
      <c r="D710" s="7"/>
      <c r="F710" s="23"/>
      <c r="G710" s="19"/>
    </row>
    <row r="711" spans="3:8" x14ac:dyDescent="0.25">
      <c r="D711" s="7"/>
      <c r="F711" s="23"/>
      <c r="G711" s="19"/>
    </row>
    <row r="712" spans="3:8" x14ac:dyDescent="0.25">
      <c r="D712" s="7"/>
      <c r="F712" s="23"/>
      <c r="G712" s="19"/>
    </row>
    <row r="713" spans="3:8" x14ac:dyDescent="0.25">
      <c r="D713" s="7"/>
      <c r="F713" s="23"/>
      <c r="G713" s="19"/>
    </row>
    <row r="714" spans="3:8" x14ac:dyDescent="0.25">
      <c r="C714" s="5"/>
      <c r="D714" s="36"/>
      <c r="E714" s="36"/>
      <c r="F714" s="37"/>
      <c r="G714" s="19"/>
      <c r="H714" s="38"/>
    </row>
    <row r="715" spans="3:8" x14ac:dyDescent="0.25">
      <c r="C715" s="5"/>
      <c r="D715" s="36"/>
      <c r="E715" s="36"/>
      <c r="F715" s="37"/>
      <c r="G715" s="19"/>
      <c r="H715" s="38"/>
    </row>
    <row r="716" spans="3:8" x14ac:dyDescent="0.25">
      <c r="C716" s="5"/>
      <c r="D716" s="36"/>
      <c r="E716" s="36"/>
      <c r="F716" s="37"/>
      <c r="G716" s="19"/>
      <c r="H716" s="38"/>
    </row>
    <row r="717" spans="3:8" x14ac:dyDescent="0.25">
      <c r="C717" s="5"/>
      <c r="D717" s="36"/>
      <c r="E717" s="36"/>
      <c r="F717" s="37"/>
      <c r="G717" s="19"/>
      <c r="H717" s="38"/>
    </row>
    <row r="718" spans="3:8" x14ac:dyDescent="0.25">
      <c r="C718" s="5"/>
      <c r="D718" s="36"/>
      <c r="E718" s="36"/>
      <c r="F718" s="37"/>
      <c r="G718" s="19"/>
      <c r="H718" s="38"/>
    </row>
    <row r="719" spans="3:8" x14ac:dyDescent="0.25">
      <c r="C719" s="5"/>
      <c r="D719" s="36"/>
      <c r="E719" s="36"/>
      <c r="F719" s="37"/>
      <c r="G719" s="19"/>
      <c r="H719" s="38"/>
    </row>
    <row r="720" spans="3:8" x14ac:dyDescent="0.25">
      <c r="C720" s="5"/>
      <c r="D720" s="36"/>
      <c r="E720" s="36"/>
      <c r="F720" s="37"/>
      <c r="G720" s="19"/>
      <c r="H720" s="38"/>
    </row>
    <row r="721" spans="3:8" x14ac:dyDescent="0.25">
      <c r="C721" s="5"/>
      <c r="D721" s="36"/>
      <c r="E721" s="36"/>
      <c r="F721" s="37"/>
      <c r="G721" s="19"/>
      <c r="H721" s="38"/>
    </row>
    <row r="722" spans="3:8" x14ac:dyDescent="0.25">
      <c r="C722" s="5"/>
      <c r="D722" s="36"/>
      <c r="E722" s="36"/>
      <c r="F722" s="37"/>
      <c r="G722" s="19"/>
      <c r="H722" s="38"/>
    </row>
    <row r="723" spans="3:8" x14ac:dyDescent="0.25">
      <c r="C723" s="5"/>
      <c r="D723" s="36"/>
      <c r="E723" s="36"/>
      <c r="F723" s="37"/>
      <c r="G723" s="19"/>
      <c r="H723" s="38"/>
    </row>
    <row r="724" spans="3:8" x14ac:dyDescent="0.25">
      <c r="C724" s="5"/>
      <c r="D724" s="36"/>
      <c r="E724" s="36"/>
      <c r="F724" s="37"/>
      <c r="G724" s="19"/>
      <c r="H724" s="38"/>
    </row>
    <row r="725" spans="3:8" x14ac:dyDescent="0.25">
      <c r="C725" s="5"/>
      <c r="D725" s="36"/>
      <c r="E725" s="36"/>
      <c r="F725" s="37"/>
      <c r="G725" s="19"/>
      <c r="H725" s="38"/>
    </row>
    <row r="726" spans="3:8" x14ac:dyDescent="0.25">
      <c r="C726" s="5"/>
      <c r="D726" s="36"/>
      <c r="E726" s="36"/>
      <c r="F726" s="37"/>
      <c r="G726" s="19"/>
      <c r="H726" s="38"/>
    </row>
    <row r="727" spans="3:8" x14ac:dyDescent="0.25">
      <c r="C727" s="5"/>
      <c r="D727" s="36"/>
      <c r="E727" s="36"/>
      <c r="F727" s="37"/>
      <c r="G727" s="19"/>
      <c r="H727" s="38"/>
    </row>
    <row r="728" spans="3:8" x14ac:dyDescent="0.25">
      <c r="C728" s="5"/>
      <c r="D728" s="36"/>
      <c r="E728" s="36"/>
      <c r="F728" s="37"/>
      <c r="G728" s="19"/>
      <c r="H728" s="38"/>
    </row>
    <row r="729" spans="3:8" x14ac:dyDescent="0.25">
      <c r="C729" s="5"/>
      <c r="D729" s="36"/>
      <c r="E729" s="36"/>
      <c r="F729" s="37"/>
      <c r="G729" s="19"/>
      <c r="H729" s="38"/>
    </row>
    <row r="730" spans="3:8" x14ac:dyDescent="0.25">
      <c r="C730" s="5"/>
      <c r="D730" s="36"/>
      <c r="E730" s="36"/>
      <c r="F730" s="37"/>
      <c r="G730" s="19"/>
      <c r="H730" s="38"/>
    </row>
    <row r="731" spans="3:8" x14ac:dyDescent="0.25">
      <c r="C731" s="5"/>
      <c r="D731" s="36"/>
      <c r="E731" s="36"/>
      <c r="F731" s="37"/>
      <c r="G731" s="19"/>
      <c r="H731" s="38"/>
    </row>
    <row r="732" spans="3:8" x14ac:dyDescent="0.25">
      <c r="C732" s="5"/>
      <c r="D732" s="36"/>
      <c r="E732" s="36"/>
      <c r="F732" s="37"/>
      <c r="G732" s="19"/>
      <c r="H732" s="38"/>
    </row>
    <row r="733" spans="3:8" x14ac:dyDescent="0.25">
      <c r="C733" s="5"/>
      <c r="D733" s="36"/>
      <c r="E733" s="36"/>
      <c r="F733" s="37"/>
      <c r="G733" s="19"/>
      <c r="H733" s="38"/>
    </row>
    <row r="734" spans="3:8" x14ac:dyDescent="0.25">
      <c r="C734" s="5"/>
      <c r="D734" s="36"/>
      <c r="E734" s="36"/>
      <c r="F734" s="37"/>
      <c r="G734" s="19"/>
      <c r="H734" s="38"/>
    </row>
    <row r="735" spans="3:8" x14ac:dyDescent="0.25">
      <c r="C735" s="5"/>
      <c r="D735" s="39"/>
      <c r="E735" s="39"/>
      <c r="F735" s="40"/>
      <c r="G735" s="19"/>
      <c r="H735" s="38"/>
    </row>
    <row r="736" spans="3:8" x14ac:dyDescent="0.25">
      <c r="C736" s="5"/>
      <c r="D736" s="39"/>
      <c r="E736" s="39"/>
      <c r="F736" s="40"/>
      <c r="G736" s="19"/>
      <c r="H736" s="38"/>
    </row>
    <row r="737" spans="3:11" x14ac:dyDescent="0.25">
      <c r="C737" s="5"/>
      <c r="D737" s="39"/>
      <c r="E737" s="39"/>
      <c r="F737" s="40"/>
      <c r="G737" s="19"/>
      <c r="H737" s="38"/>
    </row>
    <row r="738" spans="3:11" x14ac:dyDescent="0.25">
      <c r="C738" s="5"/>
      <c r="D738" s="39"/>
      <c r="E738" s="39"/>
      <c r="F738" s="40"/>
      <c r="G738" s="19"/>
      <c r="H738" s="38"/>
    </row>
    <row r="739" spans="3:11" x14ac:dyDescent="0.25">
      <c r="C739" s="5"/>
      <c r="D739" s="39"/>
      <c r="E739" s="39"/>
      <c r="F739" s="40"/>
      <c r="G739" s="19"/>
      <c r="H739" s="38"/>
    </row>
    <row r="740" spans="3:11" x14ac:dyDescent="0.25">
      <c r="C740" s="5"/>
      <c r="D740" s="39"/>
      <c r="E740" s="39"/>
      <c r="F740" s="40"/>
      <c r="G740" s="19"/>
      <c r="H740" s="38"/>
    </row>
    <row r="741" spans="3:11" x14ac:dyDescent="0.25">
      <c r="C741" s="5"/>
      <c r="D741" s="39"/>
      <c r="E741" s="39"/>
      <c r="F741" s="40"/>
      <c r="G741" s="19"/>
      <c r="H741" s="38"/>
    </row>
    <row r="742" spans="3:11" x14ac:dyDescent="0.25">
      <c r="C742" s="5"/>
      <c r="D742" s="39"/>
      <c r="E742" s="39"/>
      <c r="F742" s="40"/>
      <c r="G742" s="19"/>
      <c r="H742" s="38"/>
    </row>
    <row r="743" spans="3:11" x14ac:dyDescent="0.25">
      <c r="C743" s="41"/>
      <c r="D743" s="42"/>
      <c r="E743" s="42"/>
      <c r="F743" s="43"/>
      <c r="G743" s="44"/>
      <c r="H743" s="45"/>
      <c r="I743" s="44"/>
      <c r="J743" s="44"/>
      <c r="K743" s="44"/>
    </row>
    <row r="744" spans="3:11" x14ac:dyDescent="0.25">
      <c r="C744" s="5"/>
      <c r="D744" s="39"/>
      <c r="E744" s="39"/>
      <c r="F744" s="40"/>
      <c r="G744" s="19"/>
      <c r="H744" s="38"/>
    </row>
    <row r="745" spans="3:11" x14ac:dyDescent="0.25">
      <c r="C745" s="41"/>
      <c r="D745" s="42"/>
      <c r="E745" s="42"/>
      <c r="F745" s="43"/>
      <c r="G745" s="44"/>
      <c r="H745" s="45"/>
      <c r="I745" s="44"/>
      <c r="J745" s="44"/>
      <c r="K745" s="44"/>
    </row>
    <row r="746" spans="3:11" x14ac:dyDescent="0.25">
      <c r="C746" s="5"/>
      <c r="D746" s="39"/>
      <c r="E746" s="39"/>
      <c r="F746" s="40"/>
      <c r="G746" s="19"/>
      <c r="H746" s="38"/>
    </row>
    <row r="747" spans="3:11" x14ac:dyDescent="0.25">
      <c r="C747" s="5"/>
      <c r="D747" s="39"/>
      <c r="E747" s="39"/>
      <c r="F747" s="40"/>
      <c r="G747" s="19"/>
      <c r="H747" s="38"/>
    </row>
    <row r="748" spans="3:11" x14ac:dyDescent="0.25">
      <c r="C748" s="5"/>
      <c r="D748" s="39"/>
      <c r="E748" s="39"/>
      <c r="F748" s="40"/>
      <c r="G748" s="19"/>
      <c r="H748" s="38"/>
    </row>
    <row r="749" spans="3:11" x14ac:dyDescent="0.25">
      <c r="C749" s="5"/>
      <c r="D749" s="39"/>
      <c r="E749" s="39"/>
      <c r="F749" s="40"/>
      <c r="G749" s="19"/>
      <c r="H749" s="38"/>
    </row>
    <row r="750" spans="3:11" x14ac:dyDescent="0.25">
      <c r="C750" s="5"/>
      <c r="D750" s="39"/>
      <c r="E750" s="39"/>
      <c r="F750" s="40"/>
      <c r="G750" s="19"/>
      <c r="H750" s="38"/>
    </row>
    <row r="751" spans="3:11" x14ac:dyDescent="0.25">
      <c r="C751" s="5"/>
      <c r="D751" s="39"/>
      <c r="E751" s="39"/>
      <c r="F751" s="40"/>
      <c r="G751" s="19"/>
      <c r="H751" s="38"/>
    </row>
    <row r="752" spans="3:11" x14ac:dyDescent="0.25">
      <c r="C752" s="5"/>
      <c r="D752" s="39"/>
      <c r="E752" s="39"/>
      <c r="F752" s="40"/>
      <c r="G752" s="19"/>
      <c r="H752" s="38"/>
    </row>
    <row r="753" spans="3:11" x14ac:dyDescent="0.25">
      <c r="C753" s="5"/>
      <c r="D753" s="39"/>
      <c r="E753" s="39"/>
      <c r="F753" s="40"/>
      <c r="G753" s="19"/>
      <c r="H753" s="38"/>
    </row>
    <row r="754" spans="3:11" x14ac:dyDescent="0.25">
      <c r="C754" s="41"/>
      <c r="D754" s="42"/>
      <c r="E754" s="42"/>
      <c r="F754" s="43"/>
      <c r="G754" s="44"/>
      <c r="H754" s="45"/>
      <c r="I754" s="44"/>
      <c r="J754" s="44"/>
      <c r="K754" s="44"/>
    </row>
    <row r="755" spans="3:11" x14ac:dyDescent="0.25">
      <c r="C755" s="5"/>
      <c r="D755" s="39"/>
      <c r="E755" s="39"/>
      <c r="F755" s="40"/>
      <c r="G755" s="19"/>
      <c r="H755" s="38"/>
    </row>
    <row r="756" spans="3:11" x14ac:dyDescent="0.25">
      <c r="C756" s="5"/>
      <c r="D756" s="39"/>
      <c r="E756" s="39"/>
      <c r="F756" s="40"/>
      <c r="G756" s="19"/>
      <c r="H756" s="38"/>
    </row>
    <row r="757" spans="3:11" x14ac:dyDescent="0.25">
      <c r="C757" s="41"/>
      <c r="D757" s="42"/>
      <c r="E757" s="42"/>
      <c r="F757" s="43"/>
      <c r="G757" s="44"/>
      <c r="H757" s="45"/>
      <c r="I757" s="44"/>
      <c r="J757" s="44"/>
      <c r="K757" s="44"/>
    </row>
    <row r="758" spans="3:11" x14ac:dyDescent="0.25">
      <c r="C758" s="5"/>
      <c r="D758" s="36"/>
      <c r="E758" s="36"/>
      <c r="F758" s="37"/>
      <c r="G758" s="19"/>
      <c r="H758" s="38"/>
    </row>
    <row r="759" spans="3:11" x14ac:dyDescent="0.25">
      <c r="C759" s="5"/>
      <c r="D759" s="36"/>
      <c r="E759" s="36"/>
      <c r="F759" s="37"/>
      <c r="G759" s="19"/>
      <c r="H759" s="38"/>
    </row>
    <row r="760" spans="3:11" x14ac:dyDescent="0.25">
      <c r="C760" s="41"/>
      <c r="D760" s="46"/>
      <c r="E760" s="46"/>
      <c r="F760" s="47"/>
      <c r="G760" s="44"/>
      <c r="H760" s="45"/>
      <c r="I760" s="44"/>
      <c r="J760" s="44"/>
      <c r="K760" s="44"/>
    </row>
    <row r="761" spans="3:11" x14ac:dyDescent="0.25">
      <c r="C761" s="5"/>
      <c r="D761" s="36"/>
      <c r="E761" s="36"/>
      <c r="F761" s="37"/>
      <c r="G761" s="19"/>
      <c r="H761" s="38"/>
    </row>
    <row r="762" spans="3:11" x14ac:dyDescent="0.25">
      <c r="C762" s="5"/>
      <c r="D762" s="36"/>
      <c r="E762" s="36"/>
      <c r="F762" s="37"/>
      <c r="G762" s="19"/>
      <c r="H762" s="38"/>
    </row>
    <row r="763" spans="3:11" x14ac:dyDescent="0.25">
      <c r="C763" s="5"/>
      <c r="D763" s="36"/>
      <c r="E763" s="36"/>
      <c r="F763" s="37"/>
      <c r="G763" s="19"/>
      <c r="H763" s="38"/>
    </row>
    <row r="764" spans="3:11" x14ac:dyDescent="0.25">
      <c r="C764" s="5"/>
      <c r="D764" s="36"/>
      <c r="E764" s="36"/>
      <c r="F764" s="37"/>
      <c r="G764" s="19"/>
      <c r="H764" s="38"/>
    </row>
    <row r="765" spans="3:11" x14ac:dyDescent="0.25">
      <c r="C765" s="5"/>
      <c r="D765" s="36"/>
      <c r="E765" s="36"/>
      <c r="F765" s="37"/>
      <c r="G765" s="19"/>
      <c r="H765" s="38"/>
    </row>
    <row r="766" spans="3:11" x14ac:dyDescent="0.25">
      <c r="C766" s="5"/>
      <c r="D766" s="36"/>
      <c r="E766" s="36"/>
      <c r="F766" s="37"/>
      <c r="G766" s="19"/>
      <c r="H766" s="38"/>
    </row>
    <row r="767" spans="3:11" x14ac:dyDescent="0.25">
      <c r="C767" s="5"/>
      <c r="D767" s="5"/>
      <c r="F767" s="5"/>
      <c r="G767" s="5"/>
      <c r="H767" s="5"/>
    </row>
    <row r="768" spans="3:11" x14ac:dyDescent="0.25">
      <c r="C768" s="5"/>
      <c r="D768" s="5"/>
      <c r="F768" s="5"/>
      <c r="G768" s="5"/>
      <c r="H768" s="5"/>
    </row>
    <row r="769" spans="3:11" x14ac:dyDescent="0.25">
      <c r="C769" s="5"/>
      <c r="D769" s="5"/>
      <c r="F769" s="5"/>
      <c r="G769" s="5"/>
      <c r="H769" s="5"/>
    </row>
    <row r="770" spans="3:11" x14ac:dyDescent="0.25">
      <c r="C770" s="5"/>
      <c r="D770" s="5"/>
      <c r="F770" s="5"/>
      <c r="G770" s="5"/>
      <c r="H770" s="5"/>
    </row>
    <row r="771" spans="3:11" x14ac:dyDescent="0.25">
      <c r="C771" s="5"/>
      <c r="D771" s="5"/>
      <c r="F771" s="5"/>
      <c r="G771" s="5"/>
      <c r="H771" s="5"/>
    </row>
    <row r="772" spans="3:11" x14ac:dyDescent="0.25">
      <c r="C772" s="5"/>
      <c r="D772" s="5"/>
      <c r="F772" s="5"/>
      <c r="G772" s="5"/>
      <c r="H772" s="5"/>
    </row>
    <row r="773" spans="3:11" x14ac:dyDescent="0.25">
      <c r="C773" s="19"/>
      <c r="D773" s="19"/>
      <c r="E773" s="34"/>
      <c r="F773" s="24"/>
      <c r="G773" s="24"/>
      <c r="H773" s="19"/>
      <c r="I773" s="24"/>
      <c r="J773" s="24"/>
      <c r="K773" s="24"/>
    </row>
    <row r="774" spans="3:11" x14ac:dyDescent="0.25">
      <c r="C774" s="19"/>
      <c r="D774" s="19"/>
      <c r="E774" s="34"/>
      <c r="F774" s="24"/>
      <c r="G774" s="24"/>
      <c r="H774" s="19"/>
      <c r="I774" s="24"/>
      <c r="J774" s="24"/>
      <c r="K774" s="24"/>
    </row>
    <row r="775" spans="3:11" x14ac:dyDescent="0.25">
      <c r="C775" s="19"/>
      <c r="D775" s="19"/>
      <c r="E775" s="34"/>
      <c r="F775" s="24"/>
      <c r="G775" s="24"/>
      <c r="H775" s="19"/>
      <c r="I775" s="24"/>
      <c r="J775" s="24"/>
      <c r="K775" s="24"/>
    </row>
    <row r="776" spans="3:11" x14ac:dyDescent="0.25">
      <c r="C776" s="19"/>
      <c r="D776" s="19"/>
      <c r="E776" s="34"/>
      <c r="F776" s="24"/>
      <c r="G776" s="24"/>
      <c r="H776" s="19"/>
      <c r="I776" s="24"/>
      <c r="J776" s="24"/>
      <c r="K776" s="24"/>
    </row>
    <row r="777" spans="3:11" x14ac:dyDescent="0.25">
      <c r="C777" s="19"/>
      <c r="D777" s="19"/>
      <c r="E777" s="34"/>
      <c r="F777" s="24"/>
      <c r="G777" s="24"/>
      <c r="H777" s="19"/>
      <c r="I777" s="24"/>
      <c r="J777" s="24"/>
      <c r="K777" s="24"/>
    </row>
    <row r="778" spans="3:11" x14ac:dyDescent="0.25">
      <c r="C778" s="19"/>
      <c r="D778" s="19"/>
      <c r="E778" s="34"/>
      <c r="F778" s="24"/>
      <c r="G778" s="24"/>
      <c r="H778" s="19"/>
      <c r="I778" s="24"/>
      <c r="J778" s="24"/>
      <c r="K778" s="24"/>
    </row>
    <row r="779" spans="3:11" x14ac:dyDescent="0.25">
      <c r="C779" s="19"/>
      <c r="D779" s="19"/>
      <c r="E779" s="34"/>
      <c r="F779" s="24"/>
      <c r="G779" s="24"/>
      <c r="H779" s="19"/>
      <c r="I779" s="24"/>
      <c r="J779" s="24"/>
      <c r="K779" s="24"/>
    </row>
    <row r="780" spans="3:11" x14ac:dyDescent="0.25">
      <c r="C780" s="19"/>
      <c r="D780" s="19"/>
      <c r="E780" s="34"/>
      <c r="F780" s="24"/>
      <c r="G780" s="24"/>
      <c r="H780" s="19"/>
      <c r="I780" s="24"/>
      <c r="J780" s="24"/>
      <c r="K780" s="24"/>
    </row>
    <row r="781" spans="3:11" x14ac:dyDescent="0.25">
      <c r="C781" s="19"/>
      <c r="D781" s="19"/>
      <c r="E781" s="34"/>
      <c r="F781" s="24"/>
      <c r="G781" s="24"/>
      <c r="H781" s="19"/>
      <c r="I781" s="24"/>
      <c r="J781" s="24"/>
      <c r="K781" s="24"/>
    </row>
    <row r="782" spans="3:11" x14ac:dyDescent="0.25">
      <c r="C782" s="19"/>
      <c r="D782" s="19"/>
      <c r="E782" s="34"/>
      <c r="F782" s="24"/>
      <c r="G782" s="24"/>
      <c r="H782" s="19"/>
      <c r="I782" s="24"/>
      <c r="J782" s="24"/>
      <c r="K782" s="24"/>
    </row>
    <row r="783" spans="3:11" x14ac:dyDescent="0.25">
      <c r="C783" s="19"/>
      <c r="D783" s="19"/>
      <c r="E783" s="34"/>
      <c r="F783" s="24"/>
      <c r="G783" s="24"/>
      <c r="H783" s="19"/>
      <c r="I783" s="24"/>
      <c r="J783" s="24"/>
      <c r="K783" s="24"/>
    </row>
    <row r="784" spans="3:11" x14ac:dyDescent="0.25">
      <c r="C784" s="19"/>
      <c r="D784" s="19"/>
      <c r="E784" s="34"/>
      <c r="F784" s="24"/>
      <c r="G784" s="24"/>
      <c r="H784" s="19"/>
      <c r="I784" s="24"/>
      <c r="J784" s="24"/>
      <c r="K784" s="24"/>
    </row>
    <row r="785" spans="3:11" x14ac:dyDescent="0.25">
      <c r="C785" s="19"/>
      <c r="D785" s="19"/>
      <c r="E785" s="34"/>
      <c r="F785" s="24"/>
      <c r="G785" s="24"/>
      <c r="H785" s="19"/>
      <c r="I785" s="24"/>
      <c r="J785" s="24"/>
      <c r="K785" s="24"/>
    </row>
    <row r="786" spans="3:11" x14ac:dyDescent="0.25">
      <c r="C786" s="19"/>
      <c r="D786" s="19"/>
      <c r="E786" s="34"/>
      <c r="F786" s="24"/>
      <c r="G786" s="24"/>
      <c r="H786" s="19"/>
      <c r="I786" s="24"/>
      <c r="J786" s="24"/>
      <c r="K786" s="24"/>
    </row>
    <row r="787" spans="3:11" x14ac:dyDescent="0.25">
      <c r="C787" s="19"/>
      <c r="D787" s="19"/>
      <c r="E787" s="34"/>
      <c r="F787" s="24"/>
      <c r="G787" s="24"/>
      <c r="H787" s="19"/>
      <c r="I787" s="24"/>
      <c r="J787" s="24"/>
      <c r="K787" s="24"/>
    </row>
    <row r="788" spans="3:11" x14ac:dyDescent="0.25">
      <c r="C788" s="19"/>
      <c r="D788" s="19"/>
      <c r="E788" s="34"/>
      <c r="F788" s="24"/>
      <c r="G788" s="24"/>
      <c r="H788" s="19"/>
      <c r="I788" s="24"/>
      <c r="J788" s="24"/>
      <c r="K788" s="24"/>
    </row>
    <row r="789" spans="3:11" x14ac:dyDescent="0.25">
      <c r="C789" s="19"/>
      <c r="D789" s="19"/>
      <c r="E789" s="34"/>
      <c r="F789" s="24"/>
      <c r="G789" s="24"/>
      <c r="H789" s="19"/>
      <c r="I789" s="24"/>
      <c r="J789" s="24"/>
      <c r="K789" s="24"/>
    </row>
    <row r="790" spans="3:11" x14ac:dyDescent="0.25">
      <c r="C790" s="19"/>
      <c r="D790" s="19"/>
      <c r="E790" s="34"/>
      <c r="F790" s="24"/>
      <c r="G790" s="24"/>
      <c r="H790" s="19"/>
      <c r="I790" s="24"/>
      <c r="J790" s="24"/>
      <c r="K790" s="24"/>
    </row>
    <row r="791" spans="3:11" x14ac:dyDescent="0.25">
      <c r="C791" s="19"/>
      <c r="D791" s="19"/>
      <c r="E791" s="34"/>
      <c r="F791" s="24"/>
      <c r="G791" s="24"/>
      <c r="H791" s="19"/>
      <c r="I791" s="24"/>
      <c r="J791" s="24"/>
      <c r="K791" s="24"/>
    </row>
    <row r="792" spans="3:11" x14ac:dyDescent="0.25">
      <c r="C792" s="19"/>
      <c r="D792" s="19"/>
      <c r="E792" s="34"/>
      <c r="F792" s="24"/>
      <c r="G792" s="24"/>
      <c r="H792" s="19"/>
      <c r="I792" s="24"/>
      <c r="J792" s="24"/>
      <c r="K792" s="24"/>
    </row>
    <row r="793" spans="3:11" x14ac:dyDescent="0.25">
      <c r="C793" s="19"/>
      <c r="D793" s="19"/>
      <c r="E793" s="34"/>
      <c r="F793" s="24"/>
      <c r="G793" s="24"/>
      <c r="H793" s="19"/>
      <c r="I793" s="24"/>
      <c r="J793" s="24"/>
      <c r="K793" s="24"/>
    </row>
    <row r="794" spans="3:11" x14ac:dyDescent="0.25">
      <c r="C794" s="19"/>
      <c r="D794" s="19"/>
      <c r="E794" s="34"/>
      <c r="F794" s="24"/>
      <c r="G794" s="24"/>
      <c r="H794" s="19"/>
      <c r="I794" s="24"/>
      <c r="J794" s="24"/>
      <c r="K794" s="24"/>
    </row>
    <row r="795" spans="3:11" x14ac:dyDescent="0.25">
      <c r="C795" s="19"/>
      <c r="D795" s="19"/>
      <c r="E795" s="34"/>
      <c r="F795" s="24"/>
      <c r="G795" s="24"/>
      <c r="H795" s="19"/>
      <c r="I795" s="24"/>
      <c r="J795" s="24"/>
      <c r="K795" s="24"/>
    </row>
    <row r="796" spans="3:11" x14ac:dyDescent="0.25">
      <c r="C796" s="19"/>
      <c r="D796" s="19"/>
      <c r="E796" s="34"/>
      <c r="F796" s="24"/>
      <c r="G796" s="24"/>
      <c r="H796" s="19"/>
      <c r="I796" s="24"/>
      <c r="J796" s="24"/>
      <c r="K796" s="24"/>
    </row>
    <row r="797" spans="3:11" x14ac:dyDescent="0.25">
      <c r="C797" s="19"/>
      <c r="D797" s="19"/>
      <c r="E797" s="34"/>
      <c r="F797" s="24"/>
      <c r="G797" s="24"/>
      <c r="H797" s="19"/>
      <c r="I797" s="24"/>
      <c r="J797" s="24"/>
      <c r="K797" s="24"/>
    </row>
    <row r="798" spans="3:11" x14ac:dyDescent="0.25">
      <c r="C798" s="19"/>
      <c r="D798" s="19"/>
      <c r="E798" s="34"/>
      <c r="F798" s="24"/>
      <c r="G798" s="24"/>
      <c r="H798" s="19"/>
      <c r="I798" s="24"/>
      <c r="J798" s="24"/>
      <c r="K798" s="24"/>
    </row>
    <row r="799" spans="3:11" x14ac:dyDescent="0.25">
      <c r="C799" s="19"/>
      <c r="D799" s="19"/>
      <c r="E799" s="34"/>
      <c r="F799" s="24"/>
      <c r="G799" s="24"/>
      <c r="H799" s="19"/>
      <c r="I799" s="24"/>
      <c r="J799" s="24"/>
      <c r="K799" s="24"/>
    </row>
    <row r="800" spans="3:11" x14ac:dyDescent="0.25">
      <c r="C800" s="19"/>
      <c r="D800" s="19"/>
      <c r="E800" s="34"/>
      <c r="F800" s="24"/>
      <c r="G800" s="24"/>
      <c r="H800" s="19"/>
      <c r="I800" s="24"/>
      <c r="J800" s="24"/>
      <c r="K800" s="24"/>
    </row>
    <row r="801" spans="3:11" x14ac:dyDescent="0.25">
      <c r="C801" s="19"/>
      <c r="D801" s="19"/>
      <c r="E801" s="34"/>
      <c r="F801" s="24"/>
      <c r="G801" s="24"/>
      <c r="H801" s="19"/>
      <c r="I801" s="24"/>
      <c r="J801" s="24"/>
      <c r="K801" s="24"/>
    </row>
    <row r="802" spans="3:11" x14ac:dyDescent="0.25">
      <c r="C802" s="19"/>
      <c r="D802" s="19"/>
      <c r="E802" s="34"/>
      <c r="F802" s="24"/>
      <c r="G802" s="24"/>
      <c r="H802" s="19"/>
      <c r="I802" s="24"/>
      <c r="J802" s="24"/>
      <c r="K802" s="24"/>
    </row>
    <row r="803" spans="3:11" x14ac:dyDescent="0.25">
      <c r="C803" s="19"/>
      <c r="D803" s="19"/>
      <c r="E803" s="34"/>
      <c r="F803" s="24"/>
      <c r="G803" s="24"/>
      <c r="H803" s="19"/>
      <c r="I803" s="24"/>
      <c r="J803" s="24"/>
      <c r="K803" s="24"/>
    </row>
    <row r="804" spans="3:11" x14ac:dyDescent="0.25">
      <c r="C804" s="19"/>
      <c r="D804" s="19"/>
      <c r="E804" s="34"/>
      <c r="F804" s="24"/>
      <c r="G804" s="24"/>
      <c r="H804" s="19"/>
      <c r="I804" s="24"/>
      <c r="J804" s="24"/>
      <c r="K804" s="24"/>
    </row>
    <row r="805" spans="3:11" x14ac:dyDescent="0.25">
      <c r="C805" s="19"/>
      <c r="D805" s="19"/>
      <c r="E805" s="34"/>
      <c r="F805" s="24"/>
      <c r="G805" s="24"/>
      <c r="H805" s="19"/>
      <c r="I805" s="24"/>
      <c r="J805" s="24"/>
      <c r="K805" s="24"/>
    </row>
    <row r="806" spans="3:11" x14ac:dyDescent="0.25">
      <c r="C806" s="19"/>
      <c r="D806" s="19"/>
      <c r="E806" s="34"/>
      <c r="F806" s="24"/>
      <c r="G806" s="24"/>
      <c r="H806" s="19"/>
      <c r="I806" s="24"/>
      <c r="J806" s="24"/>
      <c r="K806" s="24"/>
    </row>
    <row r="807" spans="3:11" x14ac:dyDescent="0.25">
      <c r="C807" s="19"/>
      <c r="D807" s="19"/>
      <c r="E807" s="34"/>
      <c r="F807" s="24"/>
      <c r="G807" s="24"/>
      <c r="H807" s="19"/>
      <c r="I807" s="24"/>
      <c r="J807" s="24"/>
      <c r="K807" s="24"/>
    </row>
    <row r="808" spans="3:11" x14ac:dyDescent="0.25">
      <c r="C808" s="19"/>
      <c r="D808" s="19"/>
      <c r="E808" s="34"/>
      <c r="F808" s="24"/>
      <c r="G808" s="24"/>
      <c r="H808" s="19"/>
      <c r="I808" s="24"/>
      <c r="J808" s="24"/>
      <c r="K808" s="24"/>
    </row>
    <row r="809" spans="3:11" x14ac:dyDescent="0.25">
      <c r="C809" s="19"/>
      <c r="D809" s="19"/>
      <c r="E809" s="34"/>
      <c r="F809" s="24"/>
      <c r="G809" s="24"/>
      <c r="H809" s="19"/>
      <c r="I809" s="24"/>
      <c r="J809" s="24"/>
      <c r="K809" s="24"/>
    </row>
    <row r="810" spans="3:11" x14ac:dyDescent="0.25">
      <c r="C810" s="30"/>
      <c r="D810" s="48"/>
      <c r="E810" s="34"/>
      <c r="F810" s="24"/>
      <c r="G810" s="24"/>
      <c r="H810" s="30"/>
      <c r="I810" s="24"/>
      <c r="J810" s="24"/>
      <c r="K810" s="24"/>
    </row>
    <row r="811" spans="3:11" x14ac:dyDescent="0.25">
      <c r="C811" s="30"/>
      <c r="D811" s="48"/>
      <c r="E811" s="34"/>
      <c r="F811" s="24"/>
      <c r="G811" s="24"/>
      <c r="H811" s="30"/>
      <c r="I811" s="24"/>
      <c r="J811" s="24"/>
      <c r="K811" s="24"/>
    </row>
    <row r="812" spans="3:11" x14ac:dyDescent="0.25">
      <c r="C812" s="30"/>
      <c r="D812" s="48"/>
      <c r="E812" s="34"/>
      <c r="F812" s="24"/>
      <c r="G812" s="24"/>
      <c r="H812" s="30"/>
      <c r="I812" s="24"/>
      <c r="J812" s="24"/>
      <c r="K812" s="24"/>
    </row>
    <row r="813" spans="3:11" x14ac:dyDescent="0.25">
      <c r="C813" s="30"/>
      <c r="D813" s="48"/>
      <c r="E813" s="34"/>
      <c r="F813" s="24"/>
      <c r="G813" s="24"/>
      <c r="H813" s="30"/>
      <c r="I813" s="24"/>
      <c r="J813" s="24"/>
      <c r="K813" s="24"/>
    </row>
    <row r="814" spans="3:11" x14ac:dyDescent="0.25">
      <c r="C814" s="30"/>
      <c r="D814" s="48"/>
      <c r="E814" s="34"/>
      <c r="F814" s="24"/>
      <c r="G814" s="24"/>
      <c r="H814" s="30"/>
      <c r="I814" s="24"/>
      <c r="J814" s="24"/>
      <c r="K814" s="24"/>
    </row>
    <row r="815" spans="3:11" x14ac:dyDescent="0.25">
      <c r="C815" s="30"/>
      <c r="D815" s="48"/>
      <c r="E815" s="34"/>
      <c r="F815" s="24"/>
      <c r="G815" s="24"/>
      <c r="H815" s="30"/>
      <c r="I815" s="24"/>
      <c r="J815" s="24"/>
      <c r="K815" s="24"/>
    </row>
    <row r="816" spans="3:11" x14ac:dyDescent="0.25">
      <c r="C816" s="30"/>
      <c r="D816" s="48"/>
      <c r="E816" s="34"/>
      <c r="F816" s="24"/>
      <c r="G816" s="24"/>
      <c r="H816" s="30"/>
      <c r="I816" s="24"/>
      <c r="J816" s="24"/>
      <c r="K816" s="24"/>
    </row>
    <row r="817" spans="3:11" x14ac:dyDescent="0.25">
      <c r="C817" s="30"/>
      <c r="D817" s="48"/>
      <c r="E817" s="34"/>
      <c r="F817" s="24"/>
      <c r="G817" s="24"/>
      <c r="H817" s="30"/>
      <c r="I817" s="24"/>
      <c r="J817" s="24"/>
      <c r="K817" s="24"/>
    </row>
    <row r="818" spans="3:11" x14ac:dyDescent="0.25">
      <c r="C818" s="30"/>
      <c r="D818" s="48"/>
      <c r="E818" s="34"/>
      <c r="F818" s="24"/>
      <c r="G818" s="24"/>
      <c r="H818" s="30"/>
      <c r="I818" s="24"/>
      <c r="J818" s="24"/>
      <c r="K818" s="24"/>
    </row>
    <row r="819" spans="3:11" x14ac:dyDescent="0.25">
      <c r="C819" s="49"/>
      <c r="D819" s="48"/>
      <c r="E819" s="34"/>
      <c r="F819" s="24"/>
      <c r="G819" s="24"/>
      <c r="H819" s="30"/>
      <c r="I819" s="24"/>
      <c r="J819" s="24"/>
      <c r="K819" s="24"/>
    </row>
    <row r="820" spans="3:11" x14ac:dyDescent="0.25">
      <c r="C820" s="30"/>
      <c r="D820" s="48"/>
      <c r="E820" s="34"/>
      <c r="F820" s="24"/>
      <c r="G820" s="24"/>
      <c r="H820" s="30"/>
      <c r="I820" s="24"/>
      <c r="J820" s="24"/>
      <c r="K820" s="24"/>
    </row>
    <row r="821" spans="3:11" x14ac:dyDescent="0.25">
      <c r="C821" s="30"/>
      <c r="D821" s="48"/>
      <c r="E821" s="34"/>
      <c r="F821" s="24"/>
      <c r="G821" s="24"/>
      <c r="H821" s="30"/>
      <c r="I821" s="24"/>
      <c r="J821" s="24"/>
      <c r="K821" s="24"/>
    </row>
    <row r="822" spans="3:11" x14ac:dyDescent="0.25">
      <c r="C822" s="30"/>
      <c r="D822" s="48"/>
      <c r="E822" s="34"/>
      <c r="F822" s="24"/>
      <c r="G822" s="24"/>
      <c r="H822" s="30"/>
      <c r="I822" s="24"/>
      <c r="J822" s="24"/>
      <c r="K822" s="24"/>
    </row>
    <row r="823" spans="3:11" x14ac:dyDescent="0.25">
      <c r="C823" s="30"/>
      <c r="D823" s="48"/>
      <c r="E823" s="34"/>
      <c r="F823" s="24"/>
      <c r="G823" s="24"/>
      <c r="H823" s="30"/>
      <c r="I823" s="24"/>
      <c r="J823" s="24"/>
      <c r="K823" s="24"/>
    </row>
    <row r="824" spans="3:11" x14ac:dyDescent="0.25">
      <c r="C824" s="50"/>
      <c r="D824" s="48"/>
      <c r="E824" s="34"/>
      <c r="F824" s="24"/>
      <c r="G824" s="24"/>
      <c r="H824" s="50"/>
      <c r="I824" s="24"/>
      <c r="J824" s="24"/>
      <c r="K824" s="24"/>
    </row>
    <row r="825" spans="3:11" x14ac:dyDescent="0.25">
      <c r="C825" s="30"/>
      <c r="D825" s="48"/>
      <c r="E825" s="34"/>
      <c r="F825" s="24"/>
      <c r="G825" s="24"/>
      <c r="H825" s="30"/>
      <c r="I825" s="24"/>
      <c r="J825" s="24"/>
      <c r="K825" s="24"/>
    </row>
    <row r="826" spans="3:11" x14ac:dyDescent="0.25">
      <c r="C826" s="30"/>
      <c r="D826" s="48"/>
      <c r="E826" s="34"/>
      <c r="F826" s="24"/>
      <c r="G826" s="24"/>
      <c r="H826" s="30"/>
      <c r="I826" s="24"/>
      <c r="J826" s="24"/>
      <c r="K826" s="24"/>
    </row>
    <row r="827" spans="3:11" x14ac:dyDescent="0.25">
      <c r="C827" s="30"/>
      <c r="D827" s="48"/>
      <c r="E827" s="34"/>
      <c r="F827" s="24"/>
      <c r="G827" s="24"/>
      <c r="H827" s="30"/>
      <c r="I827" s="24"/>
      <c r="J827" s="24"/>
      <c r="K827" s="24"/>
    </row>
    <row r="828" spans="3:11" x14ac:dyDescent="0.25">
      <c r="C828" s="30"/>
      <c r="D828" s="48"/>
      <c r="E828" s="34"/>
      <c r="F828" s="24"/>
      <c r="G828" s="24"/>
      <c r="H828" s="30"/>
      <c r="I828" s="24"/>
      <c r="J828" s="24"/>
      <c r="K828" s="24"/>
    </row>
    <row r="829" spans="3:11" x14ac:dyDescent="0.25">
      <c r="C829" s="30"/>
      <c r="D829" s="48"/>
      <c r="E829" s="34"/>
      <c r="F829" s="24"/>
      <c r="G829" s="24"/>
      <c r="H829" s="30"/>
      <c r="I829" s="24"/>
      <c r="J829" s="24"/>
      <c r="K829" s="24"/>
    </row>
    <row r="830" spans="3:11" x14ac:dyDescent="0.25">
      <c r="C830" s="30"/>
      <c r="D830" s="48"/>
      <c r="E830" s="34"/>
      <c r="F830" s="24"/>
      <c r="G830" s="24"/>
      <c r="H830" s="30"/>
      <c r="I830" s="24"/>
      <c r="J830" s="24"/>
      <c r="K830" s="24"/>
    </row>
    <row r="831" spans="3:11" x14ac:dyDescent="0.25">
      <c r="C831" s="30"/>
      <c r="D831" s="48"/>
      <c r="E831" s="34"/>
      <c r="F831" s="24"/>
      <c r="G831" s="24"/>
      <c r="H831" s="30"/>
      <c r="I831" s="24"/>
      <c r="J831" s="24"/>
      <c r="K831" s="24"/>
    </row>
    <row r="832" spans="3:11" x14ac:dyDescent="0.25">
      <c r="C832" s="30"/>
      <c r="D832" s="48"/>
      <c r="E832" s="34"/>
      <c r="F832" s="24"/>
      <c r="G832" s="24"/>
      <c r="H832" s="30"/>
      <c r="I832" s="24"/>
      <c r="J832" s="24"/>
      <c r="K832" s="24"/>
    </row>
    <row r="833" spans="3:11" x14ac:dyDescent="0.25">
      <c r="C833" s="30"/>
      <c r="D833" s="48"/>
      <c r="E833" s="34"/>
      <c r="F833" s="24"/>
      <c r="G833" s="24"/>
      <c r="H833" s="30"/>
      <c r="I833" s="24"/>
      <c r="J833" s="24"/>
      <c r="K833" s="24"/>
    </row>
    <row r="834" spans="3:11" x14ac:dyDescent="0.25">
      <c r="C834" s="30"/>
      <c r="D834" s="48"/>
      <c r="E834" s="34"/>
      <c r="F834" s="24"/>
      <c r="G834" s="24"/>
      <c r="H834" s="30"/>
      <c r="I834" s="24"/>
      <c r="J834" s="24"/>
      <c r="K834" s="24"/>
    </row>
    <row r="835" spans="3:11" x14ac:dyDescent="0.25">
      <c r="C835" s="30"/>
      <c r="D835" s="48"/>
      <c r="E835" s="34"/>
      <c r="F835" s="24"/>
      <c r="G835" s="24"/>
      <c r="H835" s="30"/>
      <c r="I835" s="24"/>
      <c r="J835" s="24"/>
      <c r="K835" s="24"/>
    </row>
    <row r="836" spans="3:11" x14ac:dyDescent="0.25">
      <c r="C836" s="30"/>
      <c r="D836" s="48"/>
      <c r="E836" s="34"/>
      <c r="F836" s="24"/>
      <c r="G836" s="24"/>
      <c r="H836" s="30"/>
      <c r="I836" s="24"/>
      <c r="J836" s="24"/>
      <c r="K836" s="24"/>
    </row>
    <row r="837" spans="3:11" x14ac:dyDescent="0.25">
      <c r="C837" s="30"/>
      <c r="D837" s="48"/>
      <c r="E837" s="34"/>
      <c r="F837" s="24"/>
      <c r="G837" s="24"/>
      <c r="H837" s="30"/>
      <c r="I837" s="24"/>
      <c r="J837" s="24"/>
      <c r="K837" s="24"/>
    </row>
    <row r="838" spans="3:11" x14ac:dyDescent="0.25">
      <c r="C838" s="30"/>
      <c r="D838" s="48"/>
      <c r="E838" s="34"/>
      <c r="F838" s="24"/>
      <c r="G838" s="24"/>
      <c r="H838" s="30"/>
      <c r="I838" s="24"/>
      <c r="J838" s="24"/>
      <c r="K838" s="24"/>
    </row>
    <row r="839" spans="3:11" x14ac:dyDescent="0.25">
      <c r="C839" s="30"/>
      <c r="D839" s="48"/>
      <c r="E839" s="34"/>
      <c r="F839" s="24"/>
      <c r="G839" s="24"/>
      <c r="H839" s="30"/>
      <c r="I839" s="24"/>
      <c r="J839" s="24"/>
      <c r="K839" s="24"/>
    </row>
    <row r="840" spans="3:11" x14ac:dyDescent="0.25">
      <c r="C840" s="30"/>
      <c r="D840" s="48"/>
      <c r="E840" s="34"/>
      <c r="F840" s="24"/>
      <c r="G840" s="24"/>
      <c r="H840" s="30"/>
      <c r="I840" s="24"/>
      <c r="J840" s="24"/>
      <c r="K840" s="24"/>
    </row>
    <row r="841" spans="3:11" x14ac:dyDescent="0.25">
      <c r="C841" s="30"/>
      <c r="D841" s="48"/>
      <c r="E841" s="34"/>
      <c r="F841" s="24"/>
      <c r="G841" s="24"/>
      <c r="H841" s="30"/>
      <c r="I841" s="24"/>
      <c r="J841" s="24"/>
      <c r="K841" s="24"/>
    </row>
    <row r="842" spans="3:11" x14ac:dyDescent="0.25">
      <c r="C842" s="30"/>
      <c r="D842" s="48"/>
      <c r="E842" s="34"/>
      <c r="F842" s="24"/>
      <c r="G842" s="24"/>
      <c r="H842" s="30"/>
      <c r="I842" s="24"/>
      <c r="J842" s="24"/>
      <c r="K842" s="24"/>
    </row>
    <row r="843" spans="3:11" x14ac:dyDescent="0.25">
      <c r="C843" s="30"/>
      <c r="D843" s="48"/>
      <c r="E843" s="34"/>
      <c r="F843" s="24"/>
      <c r="G843" s="24"/>
      <c r="H843" s="30"/>
      <c r="I843" s="24"/>
      <c r="J843" s="24"/>
      <c r="K843" s="24"/>
    </row>
    <row r="844" spans="3:11" x14ac:dyDescent="0.25">
      <c r="C844" s="49"/>
      <c r="D844" s="48"/>
      <c r="E844" s="34"/>
      <c r="F844" s="24"/>
      <c r="G844" s="24"/>
      <c r="H844" s="30"/>
      <c r="I844" s="24"/>
      <c r="J844" s="24"/>
      <c r="K844" s="24"/>
    </row>
    <row r="845" spans="3:11" x14ac:dyDescent="0.25">
      <c r="C845" s="30"/>
      <c r="D845" s="48"/>
      <c r="E845" s="34"/>
      <c r="F845" s="24"/>
      <c r="G845" s="24"/>
      <c r="H845" s="30"/>
      <c r="I845" s="24"/>
      <c r="J845" s="24"/>
      <c r="K845" s="24"/>
    </row>
    <row r="846" spans="3:11" x14ac:dyDescent="0.25">
      <c r="C846" s="30"/>
      <c r="D846" s="48"/>
      <c r="E846" s="34"/>
      <c r="F846" s="24"/>
      <c r="G846" s="24"/>
      <c r="H846" s="30"/>
      <c r="I846" s="24"/>
      <c r="J846" s="24"/>
      <c r="K846" s="24"/>
    </row>
    <row r="847" spans="3:11" x14ac:dyDescent="0.25">
      <c r="C847" s="30"/>
      <c r="D847" s="48"/>
      <c r="E847" s="34"/>
      <c r="F847" s="24"/>
      <c r="G847" s="24"/>
      <c r="H847" s="30"/>
      <c r="I847" s="24"/>
      <c r="J847" s="24"/>
      <c r="K847" s="24"/>
    </row>
    <row r="848" spans="3:11" x14ac:dyDescent="0.25">
      <c r="C848" s="30"/>
      <c r="D848" s="48"/>
      <c r="E848" s="34"/>
      <c r="F848" s="24"/>
      <c r="G848" s="24"/>
      <c r="H848" s="30"/>
      <c r="I848" s="24"/>
      <c r="J848" s="24"/>
      <c r="K848" s="24"/>
    </row>
    <row r="849" spans="3:11" x14ac:dyDescent="0.25">
      <c r="C849" s="30"/>
      <c r="D849" s="48"/>
      <c r="E849" s="34"/>
      <c r="F849" s="24"/>
      <c r="G849" s="24"/>
      <c r="H849" s="30"/>
      <c r="I849" s="24"/>
      <c r="J849" s="24"/>
      <c r="K849" s="24"/>
    </row>
    <row r="850" spans="3:11" x14ac:dyDescent="0.25">
      <c r="C850" s="30"/>
      <c r="D850" s="48"/>
      <c r="E850" s="34"/>
      <c r="F850" s="24"/>
      <c r="G850" s="24"/>
      <c r="H850" s="30"/>
      <c r="I850" s="24"/>
      <c r="J850" s="24"/>
      <c r="K850" s="24"/>
    </row>
    <row r="851" spans="3:11" x14ac:dyDescent="0.25">
      <c r="C851" s="30"/>
      <c r="D851" s="48"/>
      <c r="E851" s="34"/>
      <c r="F851" s="24"/>
      <c r="G851" s="24"/>
      <c r="H851" s="30"/>
      <c r="I851" s="24"/>
      <c r="J851" s="24"/>
      <c r="K851" s="24"/>
    </row>
    <row r="852" spans="3:11" x14ac:dyDescent="0.25">
      <c r="C852" s="30"/>
      <c r="D852" s="48"/>
      <c r="E852" s="34"/>
      <c r="F852" s="24"/>
      <c r="G852" s="24"/>
      <c r="H852" s="30"/>
      <c r="I852" s="24"/>
      <c r="J852" s="24"/>
      <c r="K852" s="24"/>
    </row>
    <row r="853" spans="3:11" x14ac:dyDescent="0.25">
      <c r="C853" s="30"/>
      <c r="D853" s="48"/>
      <c r="E853" s="34"/>
      <c r="F853" s="24"/>
      <c r="G853" s="24"/>
      <c r="H853" s="30"/>
      <c r="I853" s="24"/>
      <c r="J853" s="24"/>
      <c r="K853" s="24"/>
    </row>
    <row r="854" spans="3:11" x14ac:dyDescent="0.25">
      <c r="C854" s="30"/>
      <c r="D854" s="48"/>
      <c r="E854" s="34"/>
      <c r="F854" s="24"/>
      <c r="G854" s="24"/>
      <c r="H854" s="30"/>
      <c r="I854" s="24"/>
      <c r="J854" s="24"/>
      <c r="K854" s="24"/>
    </row>
    <row r="855" spans="3:11" x14ac:dyDescent="0.25">
      <c r="C855" s="30"/>
      <c r="D855" s="48"/>
      <c r="E855" s="34"/>
      <c r="F855" s="24"/>
      <c r="G855" s="24"/>
      <c r="H855" s="30"/>
      <c r="I855" s="24"/>
      <c r="J855" s="24"/>
      <c r="K855" s="24"/>
    </row>
    <row r="856" spans="3:11" x14ac:dyDescent="0.25">
      <c r="C856" s="49"/>
      <c r="D856" s="48"/>
      <c r="E856" s="34"/>
      <c r="F856" s="24"/>
      <c r="G856" s="24"/>
      <c r="H856" s="30"/>
      <c r="I856" s="24"/>
      <c r="J856" s="24"/>
      <c r="K856" s="24"/>
    </row>
    <row r="857" spans="3:11" x14ac:dyDescent="0.25">
      <c r="C857" s="30"/>
      <c r="D857" s="48"/>
      <c r="E857" s="34"/>
      <c r="F857" s="24"/>
      <c r="G857" s="24"/>
      <c r="H857" s="30"/>
      <c r="I857" s="24"/>
      <c r="J857" s="24"/>
      <c r="K857" s="24"/>
    </row>
    <row r="858" spans="3:11" x14ac:dyDescent="0.25">
      <c r="C858" s="30"/>
      <c r="D858" s="48"/>
      <c r="E858" s="34"/>
      <c r="F858" s="24"/>
      <c r="G858" s="24"/>
      <c r="H858" s="30"/>
      <c r="I858" s="24"/>
      <c r="J858" s="24"/>
      <c r="K858" s="24"/>
    </row>
    <row r="859" spans="3:11" x14ac:dyDescent="0.25">
      <c r="C859" s="30"/>
      <c r="D859" s="48"/>
      <c r="E859" s="34"/>
      <c r="F859" s="24"/>
      <c r="G859" s="24"/>
      <c r="H859" s="30"/>
      <c r="I859" s="24"/>
      <c r="J859" s="24"/>
      <c r="K859" s="24"/>
    </row>
    <row r="860" spans="3:11" x14ac:dyDescent="0.25">
      <c r="C860" s="30"/>
      <c r="D860" s="48"/>
      <c r="E860" s="34"/>
      <c r="F860" s="24"/>
      <c r="G860" s="24"/>
      <c r="H860" s="30"/>
      <c r="I860" s="24"/>
      <c r="J860" s="24"/>
      <c r="K860" s="24"/>
    </row>
    <row r="861" spans="3:11" x14ac:dyDescent="0.25">
      <c r="C861" s="30"/>
      <c r="D861" s="48"/>
      <c r="E861" s="34"/>
      <c r="F861" s="24"/>
      <c r="G861" s="24"/>
      <c r="H861" s="30"/>
      <c r="I861" s="24"/>
      <c r="J861" s="24"/>
      <c r="K861" s="24"/>
    </row>
    <row r="862" spans="3:11" x14ac:dyDescent="0.25">
      <c r="C862" s="30"/>
      <c r="D862" s="48"/>
      <c r="E862" s="34"/>
      <c r="F862" s="24"/>
      <c r="G862" s="24"/>
      <c r="H862" s="30"/>
      <c r="I862" s="24"/>
      <c r="J862" s="24"/>
      <c r="K862" s="24"/>
    </row>
    <row r="863" spans="3:11" x14ac:dyDescent="0.25">
      <c r="C863" s="30"/>
      <c r="D863" s="48"/>
      <c r="E863" s="34"/>
      <c r="F863" s="24"/>
      <c r="G863" s="24"/>
      <c r="H863" s="30"/>
      <c r="I863" s="24"/>
      <c r="J863" s="24"/>
      <c r="K863" s="24"/>
    </row>
    <row r="864" spans="3:11" x14ac:dyDescent="0.25">
      <c r="C864" s="30"/>
      <c r="D864" s="48"/>
      <c r="E864" s="34"/>
      <c r="F864" s="24"/>
      <c r="G864" s="24"/>
      <c r="H864" s="30"/>
      <c r="I864" s="24"/>
      <c r="J864" s="24"/>
      <c r="K864" s="24"/>
    </row>
    <row r="865" spans="3:11" x14ac:dyDescent="0.25">
      <c r="C865" s="30"/>
      <c r="D865" s="48"/>
      <c r="E865" s="34"/>
      <c r="F865" s="24"/>
      <c r="G865" s="24"/>
      <c r="H865" s="30"/>
      <c r="I865" s="24"/>
      <c r="J865" s="24"/>
      <c r="K865" s="24"/>
    </row>
    <row r="866" spans="3:11" x14ac:dyDescent="0.25">
      <c r="C866" s="50"/>
      <c r="D866" s="48"/>
      <c r="E866" s="34"/>
      <c r="F866" s="24"/>
      <c r="G866" s="24"/>
      <c r="H866" s="30"/>
      <c r="I866" s="24"/>
      <c r="J866" s="24"/>
      <c r="K866" s="24"/>
    </row>
    <row r="867" spans="3:11" x14ac:dyDescent="0.25">
      <c r="C867" s="30"/>
      <c r="D867" s="48"/>
      <c r="E867" s="34"/>
      <c r="F867" s="24"/>
      <c r="G867" s="24"/>
      <c r="H867" s="30"/>
      <c r="I867" s="24"/>
      <c r="J867" s="24"/>
      <c r="K867" s="24"/>
    </row>
    <row r="868" spans="3:11" x14ac:dyDescent="0.25">
      <c r="C868" s="30"/>
      <c r="D868" s="48"/>
      <c r="E868" s="34"/>
      <c r="F868" s="24"/>
      <c r="G868" s="24"/>
      <c r="H868" s="30"/>
      <c r="I868" s="24"/>
      <c r="J868" s="24"/>
      <c r="K868" s="24"/>
    </row>
    <row r="869" spans="3:11" x14ac:dyDescent="0.25">
      <c r="C869" s="30"/>
      <c r="D869" s="48"/>
      <c r="E869" s="34"/>
      <c r="F869" s="24"/>
      <c r="G869" s="24"/>
      <c r="H869" s="30"/>
      <c r="I869" s="24"/>
      <c r="J869" s="24"/>
      <c r="K869" s="24"/>
    </row>
    <row r="870" spans="3:11" x14ac:dyDescent="0.25">
      <c r="C870" s="30"/>
      <c r="D870" s="48"/>
      <c r="E870" s="34"/>
      <c r="F870" s="24"/>
      <c r="G870" s="24"/>
      <c r="H870" s="30"/>
      <c r="I870" s="24"/>
      <c r="J870" s="24"/>
      <c r="K870" s="24"/>
    </row>
    <row r="871" spans="3:11" x14ac:dyDescent="0.25">
      <c r="C871" s="30"/>
      <c r="D871" s="48"/>
      <c r="E871" s="34"/>
      <c r="F871" s="24"/>
      <c r="G871" s="24"/>
      <c r="H871" s="30"/>
      <c r="I871" s="24"/>
      <c r="J871" s="24"/>
      <c r="K871" s="24"/>
    </row>
    <row r="872" spans="3:11" x14ac:dyDescent="0.25">
      <c r="C872" s="50"/>
      <c r="D872" s="48"/>
      <c r="E872" s="34"/>
      <c r="F872" s="24"/>
      <c r="G872" s="24"/>
      <c r="H872" s="30"/>
      <c r="I872" s="24"/>
      <c r="J872" s="24"/>
      <c r="K872" s="24"/>
    </row>
    <row r="873" spans="3:11" x14ac:dyDescent="0.25">
      <c r="C873" s="19"/>
      <c r="D873" s="48"/>
      <c r="E873" s="34"/>
      <c r="F873" s="24"/>
      <c r="G873" s="24"/>
      <c r="H873" s="30"/>
      <c r="I873" s="24"/>
      <c r="J873" s="24"/>
      <c r="K873" s="24"/>
    </row>
    <row r="874" spans="3:11" x14ac:dyDescent="0.25">
      <c r="C874" s="19"/>
      <c r="D874" s="48"/>
      <c r="E874" s="34"/>
      <c r="F874" s="24"/>
      <c r="G874" s="24"/>
      <c r="H874" s="30"/>
      <c r="I874" s="24"/>
      <c r="J874" s="24"/>
      <c r="K874" s="24"/>
    </row>
    <row r="875" spans="3:11" x14ac:dyDescent="0.25">
      <c r="C875" s="19"/>
      <c r="D875" s="48"/>
      <c r="E875" s="34"/>
      <c r="F875" s="24"/>
      <c r="G875" s="24"/>
      <c r="H875" s="19"/>
      <c r="I875" s="24"/>
      <c r="J875" s="24"/>
      <c r="K875" s="24"/>
    </row>
    <row r="876" spans="3:11" x14ac:dyDescent="0.25">
      <c r="C876" s="50"/>
      <c r="D876" s="48"/>
      <c r="E876" s="34"/>
      <c r="F876" s="24"/>
      <c r="G876" s="24"/>
      <c r="H876" s="50"/>
      <c r="I876" s="24"/>
      <c r="J876" s="24"/>
      <c r="K876" s="24"/>
    </row>
    <row r="877" spans="3:11" x14ac:dyDescent="0.25">
      <c r="C877" s="30"/>
      <c r="D877" s="48"/>
      <c r="E877" s="34"/>
      <c r="F877" s="24"/>
      <c r="G877" s="24"/>
      <c r="H877" s="30"/>
      <c r="I877" s="24"/>
      <c r="J877" s="24"/>
      <c r="K877" s="24"/>
    </row>
    <row r="878" spans="3:11" x14ac:dyDescent="0.25">
      <c r="C878" s="30"/>
      <c r="D878" s="48"/>
      <c r="E878" s="34"/>
      <c r="F878" s="24"/>
      <c r="G878" s="24"/>
      <c r="H878" s="30"/>
      <c r="I878" s="24"/>
      <c r="J878" s="24"/>
      <c r="K878" s="24"/>
    </row>
    <row r="879" spans="3:11" x14ac:dyDescent="0.25">
      <c r="C879" s="30"/>
      <c r="D879" s="48"/>
      <c r="E879" s="34"/>
      <c r="F879" s="24"/>
      <c r="G879" s="24"/>
      <c r="H879" s="30"/>
      <c r="I879" s="24"/>
      <c r="J879" s="24"/>
      <c r="K879" s="24"/>
    </row>
    <row r="880" spans="3:11" x14ac:dyDescent="0.25">
      <c r="C880" s="30"/>
      <c r="D880" s="48"/>
      <c r="E880" s="34"/>
      <c r="F880" s="24"/>
      <c r="G880" s="24"/>
      <c r="H880" s="30"/>
      <c r="I880" s="24"/>
      <c r="J880" s="24"/>
      <c r="K880" s="24"/>
    </row>
    <row r="881" spans="3:11" x14ac:dyDescent="0.25">
      <c r="C881" s="30"/>
      <c r="D881" s="48"/>
      <c r="E881" s="34"/>
      <c r="F881" s="24"/>
      <c r="G881" s="24"/>
      <c r="H881" s="30"/>
      <c r="I881" s="24"/>
      <c r="J881" s="24"/>
      <c r="K881" s="24"/>
    </row>
    <row r="882" spans="3:11" x14ac:dyDescent="0.25">
      <c r="C882" s="30"/>
      <c r="D882" s="48"/>
      <c r="E882" s="34"/>
      <c r="F882" s="24"/>
      <c r="G882" s="24"/>
      <c r="H882" s="30"/>
      <c r="I882" s="24"/>
      <c r="J882" s="24"/>
      <c r="K882" s="24"/>
    </row>
    <row r="883" spans="3:11" x14ac:dyDescent="0.25">
      <c r="C883" s="30"/>
      <c r="D883" s="48"/>
      <c r="E883" s="34"/>
      <c r="F883" s="24"/>
      <c r="G883" s="24"/>
      <c r="H883" s="30"/>
      <c r="I883" s="24"/>
      <c r="J883" s="24"/>
      <c r="K883" s="24"/>
    </row>
    <row r="884" spans="3:11" x14ac:dyDescent="0.25">
      <c r="C884" s="30"/>
      <c r="D884" s="48"/>
      <c r="E884" s="34"/>
      <c r="F884" s="24"/>
      <c r="G884" s="24"/>
      <c r="H884" s="30"/>
      <c r="I884" s="24"/>
      <c r="J884" s="24"/>
      <c r="K884" s="24"/>
    </row>
    <row r="885" spans="3:11" x14ac:dyDescent="0.25">
      <c r="C885" s="30"/>
      <c r="D885" s="48"/>
      <c r="E885" s="34"/>
      <c r="F885" s="24"/>
      <c r="G885" s="24"/>
      <c r="H885" s="30"/>
      <c r="I885" s="24"/>
      <c r="J885" s="24"/>
      <c r="K885" s="24"/>
    </row>
    <row r="886" spans="3:11" x14ac:dyDescent="0.25">
      <c r="C886" s="30"/>
      <c r="D886" s="48"/>
      <c r="E886" s="34"/>
      <c r="F886" s="24"/>
      <c r="G886" s="24"/>
      <c r="H886" s="30"/>
      <c r="I886" s="24"/>
      <c r="J886" s="24"/>
      <c r="K886" s="24"/>
    </row>
    <row r="887" spans="3:11" x14ac:dyDescent="0.25">
      <c r="C887" s="49"/>
      <c r="D887" s="48"/>
      <c r="E887" s="34"/>
      <c r="F887" s="24"/>
      <c r="G887" s="24"/>
      <c r="H887" s="30"/>
      <c r="I887" s="24"/>
      <c r="J887" s="24"/>
      <c r="K887" s="24"/>
    </row>
    <row r="888" spans="3:11" x14ac:dyDescent="0.25">
      <c r="C888" s="30"/>
      <c r="D888" s="48"/>
      <c r="E888" s="34"/>
      <c r="F888" s="24"/>
      <c r="G888" s="24"/>
      <c r="H888" s="30"/>
      <c r="I888" s="24"/>
      <c r="J888" s="24"/>
      <c r="K888" s="24"/>
    </row>
    <row r="889" spans="3:11" x14ac:dyDescent="0.25">
      <c r="C889" s="30"/>
      <c r="D889" s="48"/>
      <c r="E889" s="34"/>
      <c r="F889" s="24"/>
      <c r="G889" s="24"/>
      <c r="H889" s="30"/>
      <c r="I889" s="24"/>
      <c r="J889" s="24"/>
      <c r="K889" s="24"/>
    </row>
    <row r="890" spans="3:11" x14ac:dyDescent="0.25">
      <c r="C890" s="30"/>
      <c r="D890" s="48"/>
      <c r="E890" s="34"/>
      <c r="F890" s="24"/>
      <c r="G890" s="24"/>
      <c r="H890" s="30"/>
      <c r="I890" s="24"/>
      <c r="J890" s="24"/>
      <c r="K890" s="24"/>
    </row>
    <row r="891" spans="3:11" x14ac:dyDescent="0.25">
      <c r="C891" s="30"/>
      <c r="D891" s="48"/>
      <c r="E891" s="34"/>
      <c r="F891" s="24"/>
      <c r="G891" s="24"/>
      <c r="H891" s="30"/>
      <c r="I891" s="24"/>
      <c r="J891" s="24"/>
      <c r="K891" s="24"/>
    </row>
    <row r="892" spans="3:11" x14ac:dyDescent="0.25">
      <c r="C892" s="30"/>
      <c r="D892" s="48"/>
      <c r="E892" s="34"/>
      <c r="F892" s="24"/>
      <c r="G892" s="24"/>
      <c r="H892" s="30"/>
      <c r="I892" s="24"/>
      <c r="J892" s="24"/>
      <c r="K892" s="24"/>
    </row>
    <row r="893" spans="3:11" x14ac:dyDescent="0.25">
      <c r="C893" s="30"/>
      <c r="D893" s="48"/>
      <c r="E893" s="34"/>
      <c r="F893" s="24"/>
      <c r="G893" s="24"/>
      <c r="H893" s="30"/>
      <c r="I893" s="24"/>
      <c r="J893" s="24"/>
      <c r="K893" s="24"/>
    </row>
    <row r="894" spans="3:11" x14ac:dyDescent="0.25">
      <c r="C894" s="19"/>
      <c r="D894" s="48"/>
      <c r="E894" s="34"/>
      <c r="F894" s="24"/>
      <c r="G894" s="24"/>
      <c r="H894" s="30"/>
      <c r="I894" s="24"/>
      <c r="J894" s="24"/>
      <c r="K894" s="24"/>
    </row>
    <row r="895" spans="3:11" x14ac:dyDescent="0.25">
      <c r="C895" s="19"/>
      <c r="D895" s="48"/>
      <c r="E895" s="34"/>
      <c r="F895" s="24"/>
      <c r="G895" s="24"/>
      <c r="H895" s="30"/>
      <c r="I895" s="24"/>
      <c r="J895" s="24"/>
      <c r="K895" s="24"/>
    </row>
    <row r="896" spans="3:11" x14ac:dyDescent="0.25">
      <c r="C896" s="19"/>
      <c r="D896" s="48"/>
      <c r="E896" s="34"/>
      <c r="F896" s="24"/>
      <c r="G896" s="24"/>
      <c r="H896" s="30"/>
      <c r="I896" s="24"/>
      <c r="J896" s="24"/>
      <c r="K896" s="24"/>
    </row>
    <row r="897" spans="3:11" x14ac:dyDescent="0.25">
      <c r="C897" s="19"/>
      <c r="D897" s="48"/>
      <c r="E897" s="34"/>
      <c r="F897" s="24"/>
      <c r="G897" s="24"/>
      <c r="H897" s="30"/>
      <c r="I897" s="24"/>
      <c r="J897" s="24"/>
      <c r="K897" s="24"/>
    </row>
    <row r="898" spans="3:11" x14ac:dyDescent="0.25">
      <c r="C898" s="30"/>
      <c r="D898" s="48"/>
      <c r="E898" s="34"/>
      <c r="F898" s="24"/>
      <c r="G898" s="24"/>
      <c r="H898" s="30"/>
      <c r="I898" s="24"/>
      <c r="J898" s="24"/>
      <c r="K898" s="24"/>
    </row>
    <row r="899" spans="3:11" x14ac:dyDescent="0.25">
      <c r="C899" s="30"/>
      <c r="D899" s="48"/>
      <c r="E899" s="34"/>
      <c r="F899" s="24"/>
      <c r="G899" s="24"/>
      <c r="H899" s="30"/>
      <c r="I899" s="24"/>
      <c r="J899" s="24"/>
      <c r="K899" s="24"/>
    </row>
    <row r="900" spans="3:11" x14ac:dyDescent="0.25">
      <c r="C900" s="19"/>
      <c r="D900" s="48"/>
      <c r="E900" s="34"/>
      <c r="F900" s="24"/>
      <c r="G900" s="24"/>
      <c r="H900" s="19"/>
      <c r="I900" s="24"/>
      <c r="J900" s="24"/>
      <c r="K900" s="24"/>
    </row>
    <row r="901" spans="3:11" x14ac:dyDescent="0.25">
      <c r="C901" s="19"/>
      <c r="D901" s="48"/>
      <c r="E901" s="34"/>
      <c r="F901" s="24"/>
      <c r="G901" s="24"/>
      <c r="H901" s="30"/>
      <c r="I901" s="24"/>
      <c r="J901" s="24"/>
      <c r="K901" s="24"/>
    </row>
    <row r="902" spans="3:11" x14ac:dyDescent="0.25">
      <c r="C902" s="19"/>
      <c r="D902" s="48"/>
      <c r="E902" s="34"/>
      <c r="F902" s="24"/>
      <c r="G902" s="24"/>
      <c r="H902" s="30"/>
      <c r="I902" s="24"/>
      <c r="J902" s="24"/>
      <c r="K902" s="24"/>
    </row>
    <row r="903" spans="3:11" x14ac:dyDescent="0.25">
      <c r="C903" s="51"/>
      <c r="D903" s="48"/>
      <c r="E903" s="34"/>
      <c r="F903" s="24"/>
      <c r="G903" s="24"/>
      <c r="H903" s="30"/>
      <c r="I903" s="24"/>
      <c r="J903" s="24"/>
      <c r="K903" s="24"/>
    </row>
    <row r="904" spans="3:11" x14ac:dyDescent="0.25">
      <c r="C904" s="19"/>
      <c r="D904" s="48"/>
      <c r="E904" s="34"/>
      <c r="F904" s="24"/>
      <c r="G904" s="24"/>
      <c r="H904" s="30"/>
      <c r="I904" s="24"/>
      <c r="J904" s="24"/>
      <c r="K904" s="24"/>
    </row>
    <row r="905" spans="3:11" x14ac:dyDescent="0.25">
      <c r="C905" s="19"/>
      <c r="D905" s="48"/>
      <c r="E905" s="34"/>
      <c r="F905" s="24"/>
      <c r="G905" s="24"/>
      <c r="H905" s="30"/>
      <c r="I905" s="24"/>
      <c r="J905" s="24"/>
      <c r="K905" s="24"/>
    </row>
    <row r="906" spans="3:11" x14ac:dyDescent="0.25">
      <c r="C906" s="19"/>
      <c r="D906" s="48"/>
      <c r="E906" s="34"/>
      <c r="F906" s="24"/>
      <c r="G906" s="24"/>
      <c r="H906" s="30"/>
      <c r="I906" s="24"/>
      <c r="J906" s="24"/>
      <c r="K906" s="24"/>
    </row>
    <row r="907" spans="3:11" x14ac:dyDescent="0.25">
      <c r="C907" s="51"/>
      <c r="D907" s="48"/>
      <c r="E907" s="34"/>
      <c r="F907" s="24"/>
      <c r="G907" s="24"/>
      <c r="H907" s="30"/>
      <c r="I907" s="24"/>
      <c r="J907" s="24"/>
      <c r="K907" s="24"/>
    </row>
    <row r="908" spans="3:11" x14ac:dyDescent="0.25">
      <c r="C908" s="19"/>
      <c r="D908" s="48"/>
      <c r="E908" s="34"/>
      <c r="F908" s="24"/>
      <c r="G908" s="24"/>
      <c r="H908" s="30"/>
      <c r="I908" s="24"/>
      <c r="J908" s="24"/>
      <c r="K908" s="24"/>
    </row>
    <row r="909" spans="3:11" x14ac:dyDescent="0.25">
      <c r="C909" s="19"/>
      <c r="D909" s="48"/>
      <c r="E909" s="34"/>
      <c r="F909" s="24"/>
      <c r="G909" s="24"/>
      <c r="H909" s="30"/>
      <c r="I909" s="24"/>
      <c r="J909" s="24"/>
      <c r="K909" s="24"/>
    </row>
    <row r="910" spans="3:11" x14ac:dyDescent="0.25">
      <c r="C910" s="19"/>
      <c r="D910" s="48"/>
      <c r="E910" s="34"/>
      <c r="F910" s="24"/>
      <c r="G910" s="24"/>
      <c r="H910" s="30"/>
      <c r="I910" s="24"/>
      <c r="J910" s="24"/>
      <c r="K910" s="24"/>
    </row>
    <row r="911" spans="3:11" x14ac:dyDescent="0.25">
      <c r="C911" s="19"/>
      <c r="D911" s="48"/>
      <c r="E911" s="34"/>
      <c r="F911" s="24"/>
      <c r="G911" s="24"/>
      <c r="H911" s="30"/>
      <c r="I911" s="24"/>
      <c r="J911" s="24"/>
      <c r="K911" s="24"/>
    </row>
    <row r="912" spans="3:11" x14ac:dyDescent="0.25">
      <c r="C912" s="30"/>
      <c r="D912" s="48"/>
      <c r="E912" s="34"/>
      <c r="F912" s="24"/>
      <c r="G912" s="24"/>
      <c r="H912" s="50"/>
      <c r="I912" s="24"/>
      <c r="J912" s="24"/>
      <c r="K912" s="24"/>
    </row>
    <row r="913" spans="3:11" x14ac:dyDescent="0.25">
      <c r="C913" s="19"/>
      <c r="D913" s="48"/>
      <c r="E913" s="34"/>
      <c r="F913" s="24"/>
      <c r="G913" s="24"/>
      <c r="H913" s="30"/>
      <c r="I913" s="24"/>
      <c r="J913" s="24"/>
      <c r="K913" s="24"/>
    </row>
    <row r="914" spans="3:11" x14ac:dyDescent="0.25">
      <c r="C914" s="51"/>
      <c r="D914" s="48"/>
      <c r="E914" s="34"/>
      <c r="F914" s="24"/>
      <c r="G914" s="24"/>
      <c r="H914" s="30"/>
      <c r="I914" s="24"/>
      <c r="J914" s="24"/>
      <c r="K914" s="24"/>
    </row>
    <row r="915" spans="3:11" x14ac:dyDescent="0.25">
      <c r="C915" s="19"/>
      <c r="D915" s="48"/>
      <c r="E915" s="34"/>
      <c r="F915" s="24"/>
      <c r="G915" s="24"/>
      <c r="H915" s="30"/>
      <c r="I915" s="24"/>
      <c r="J915" s="24"/>
      <c r="K915" s="24"/>
    </row>
    <row r="916" spans="3:11" x14ac:dyDescent="0.25">
      <c r="C916" s="19"/>
      <c r="D916" s="48"/>
      <c r="E916" s="34"/>
      <c r="F916" s="24"/>
      <c r="G916" s="24"/>
      <c r="H916" s="30"/>
      <c r="I916" s="24"/>
      <c r="J916" s="24"/>
      <c r="K916" s="24"/>
    </row>
    <row r="917" spans="3:11" x14ac:dyDescent="0.25">
      <c r="C917" s="19"/>
      <c r="D917" s="48"/>
      <c r="E917" s="34"/>
      <c r="F917" s="24"/>
      <c r="G917" s="24"/>
      <c r="H917" s="30"/>
      <c r="I917" s="24"/>
      <c r="J917" s="24"/>
      <c r="K917" s="24"/>
    </row>
    <row r="918" spans="3:11" x14ac:dyDescent="0.25">
      <c r="C918" s="19"/>
      <c r="D918" s="48"/>
      <c r="E918" s="34"/>
      <c r="F918" s="24"/>
      <c r="G918" s="24"/>
      <c r="H918" s="30"/>
      <c r="I918" s="24"/>
      <c r="J918" s="24"/>
      <c r="K918" s="24"/>
    </row>
    <row r="919" spans="3:11" x14ac:dyDescent="0.25">
      <c r="C919" s="51"/>
      <c r="D919" s="48"/>
      <c r="E919" s="34"/>
      <c r="F919" s="24"/>
      <c r="G919" s="24"/>
      <c r="H919" s="30"/>
      <c r="I919" s="24"/>
      <c r="J919" s="24"/>
      <c r="K919" s="24"/>
    </row>
    <row r="920" spans="3:11" x14ac:dyDescent="0.25">
      <c r="C920" s="19"/>
      <c r="D920" s="48"/>
      <c r="E920" s="34"/>
      <c r="F920" s="24"/>
      <c r="G920" s="24"/>
      <c r="H920" s="30"/>
      <c r="I920" s="24"/>
      <c r="J920" s="24"/>
      <c r="K920" s="24"/>
    </row>
    <row r="921" spans="3:11" x14ac:dyDescent="0.25">
      <c r="C921" s="52"/>
      <c r="D921" s="48"/>
      <c r="E921" s="34"/>
      <c r="F921" s="24"/>
      <c r="G921" s="24"/>
      <c r="H921" s="53"/>
      <c r="I921" s="24"/>
      <c r="J921" s="24"/>
      <c r="K921" s="24"/>
    </row>
    <row r="922" spans="3:11" x14ac:dyDescent="0.25">
      <c r="C922" s="52"/>
      <c r="D922" s="48"/>
      <c r="E922" s="34"/>
      <c r="F922" s="24"/>
      <c r="G922" s="24"/>
      <c r="H922" s="53"/>
      <c r="I922" s="24"/>
      <c r="J922" s="24"/>
      <c r="K922" s="24"/>
    </row>
    <row r="923" spans="3:11" x14ac:dyDescent="0.25">
      <c r="C923" s="52"/>
      <c r="D923" s="48"/>
      <c r="E923" s="34"/>
      <c r="F923" s="24"/>
      <c r="G923" s="24"/>
      <c r="H923" s="53"/>
      <c r="I923" s="24"/>
      <c r="J923" s="24"/>
      <c r="K923" s="24"/>
    </row>
    <row r="924" spans="3:11" x14ac:dyDescent="0.25">
      <c r="C924" s="52"/>
      <c r="D924" s="48"/>
      <c r="E924" s="34"/>
      <c r="F924" s="24"/>
      <c r="G924" s="24"/>
      <c r="H924" s="53"/>
      <c r="I924" s="24"/>
      <c r="J924" s="24"/>
      <c r="K924" s="24"/>
    </row>
    <row r="925" spans="3:11" x14ac:dyDescent="0.25">
      <c r="C925" s="52"/>
      <c r="D925" s="48"/>
      <c r="E925" s="34"/>
      <c r="F925" s="24"/>
      <c r="G925" s="24"/>
      <c r="H925" s="53"/>
      <c r="I925" s="24"/>
      <c r="J925" s="24"/>
      <c r="K925" s="24"/>
    </row>
    <row r="926" spans="3:11" x14ac:dyDescent="0.25">
      <c r="C926" s="52"/>
      <c r="D926" s="48"/>
      <c r="E926" s="34"/>
      <c r="F926" s="24"/>
      <c r="G926" s="24"/>
      <c r="H926" s="53"/>
      <c r="I926" s="24"/>
      <c r="J926" s="24"/>
      <c r="K926" s="24"/>
    </row>
    <row r="927" spans="3:11" x14ac:dyDescent="0.25">
      <c r="C927" s="52"/>
      <c r="D927" s="48"/>
      <c r="E927" s="34"/>
      <c r="F927" s="24"/>
      <c r="G927" s="24"/>
      <c r="H927" s="53"/>
      <c r="I927" s="24"/>
      <c r="J927" s="24"/>
      <c r="K927" s="24"/>
    </row>
    <row r="928" spans="3:11" x14ac:dyDescent="0.25">
      <c r="C928" s="52"/>
      <c r="D928" s="48"/>
      <c r="E928" s="34"/>
      <c r="F928" s="24"/>
      <c r="G928" s="24"/>
      <c r="H928" s="53"/>
      <c r="I928" s="24"/>
      <c r="J928" s="24"/>
      <c r="K928" s="24"/>
    </row>
    <row r="929" spans="3:11" x14ac:dyDescent="0.25">
      <c r="C929" s="52"/>
      <c r="D929" s="48"/>
      <c r="E929" s="34"/>
      <c r="F929" s="24"/>
      <c r="G929" s="24"/>
      <c r="H929" s="53"/>
      <c r="I929" s="24"/>
      <c r="J929" s="24"/>
      <c r="K929" s="24"/>
    </row>
    <row r="930" spans="3:11" x14ac:dyDescent="0.25">
      <c r="C930" s="52"/>
      <c r="D930" s="48"/>
      <c r="E930" s="34"/>
      <c r="F930" s="24"/>
      <c r="G930" s="24"/>
      <c r="H930" s="53"/>
      <c r="I930" s="24"/>
      <c r="J930" s="24"/>
      <c r="K930" s="24"/>
    </row>
    <row r="931" spans="3:11" x14ac:dyDescent="0.25">
      <c r="C931" s="52"/>
      <c r="D931" s="48"/>
      <c r="E931" s="34"/>
      <c r="F931" s="24"/>
      <c r="G931" s="24"/>
      <c r="H931" s="53"/>
      <c r="I931" s="24"/>
      <c r="J931" s="24"/>
      <c r="K931" s="24"/>
    </row>
    <row r="932" spans="3:11" x14ac:dyDescent="0.25">
      <c r="C932" s="52"/>
      <c r="D932" s="48"/>
      <c r="E932" s="34"/>
      <c r="F932" s="24"/>
      <c r="G932" s="24"/>
      <c r="H932" s="53"/>
      <c r="I932" s="24"/>
      <c r="J932" s="24"/>
      <c r="K932" s="24"/>
    </row>
    <row r="933" spans="3:11" x14ac:dyDescent="0.25">
      <c r="C933" s="52"/>
      <c r="D933" s="48"/>
      <c r="E933" s="34"/>
      <c r="F933" s="24"/>
      <c r="G933" s="24"/>
      <c r="H933" s="53"/>
      <c r="I933" s="24"/>
      <c r="J933" s="24"/>
      <c r="K933" s="24"/>
    </row>
    <row r="934" spans="3:11" x14ac:dyDescent="0.25">
      <c r="C934" s="52"/>
      <c r="D934" s="48"/>
      <c r="E934" s="34"/>
      <c r="F934" s="24"/>
      <c r="G934" s="24"/>
      <c r="H934" s="53"/>
      <c r="I934" s="24"/>
      <c r="J934" s="24"/>
      <c r="K934" s="24"/>
    </row>
    <row r="935" spans="3:11" x14ac:dyDescent="0.25">
      <c r="C935" s="52"/>
      <c r="D935" s="48"/>
      <c r="E935" s="34"/>
      <c r="F935" s="24"/>
      <c r="G935" s="24"/>
      <c r="H935" s="53"/>
      <c r="I935" s="24"/>
      <c r="J935" s="24"/>
      <c r="K935" s="24"/>
    </row>
    <row r="936" spans="3:11" x14ac:dyDescent="0.25">
      <c r="C936" s="52"/>
      <c r="D936" s="48"/>
      <c r="E936" s="34"/>
      <c r="F936" s="24"/>
      <c r="G936" s="24"/>
      <c r="H936" s="53"/>
      <c r="I936" s="24"/>
      <c r="J936" s="24"/>
      <c r="K936" s="24"/>
    </row>
    <row r="937" spans="3:11" x14ac:dyDescent="0.25">
      <c r="C937" s="52"/>
      <c r="D937" s="48"/>
      <c r="E937" s="34"/>
      <c r="F937" s="24"/>
      <c r="G937" s="24"/>
      <c r="H937" s="53"/>
      <c r="I937" s="24"/>
      <c r="J937" s="24"/>
      <c r="K937" s="24"/>
    </row>
    <row r="938" spans="3:11" x14ac:dyDescent="0.25">
      <c r="C938" s="52"/>
      <c r="D938" s="48"/>
      <c r="E938" s="34"/>
      <c r="F938" s="24"/>
      <c r="G938" s="24"/>
      <c r="H938" s="53"/>
      <c r="I938" s="24"/>
      <c r="J938" s="24"/>
      <c r="K938" s="24"/>
    </row>
    <row r="939" spans="3:11" x14ac:dyDescent="0.25">
      <c r="C939" s="52"/>
      <c r="D939" s="48"/>
      <c r="E939" s="34"/>
      <c r="F939" s="24"/>
      <c r="G939" s="24"/>
      <c r="H939" s="53"/>
      <c r="I939" s="24"/>
      <c r="J939" s="24"/>
      <c r="K939" s="24"/>
    </row>
    <row r="940" spans="3:11" x14ac:dyDescent="0.25">
      <c r="C940" s="52"/>
      <c r="D940" s="48"/>
      <c r="E940" s="34"/>
      <c r="F940" s="24"/>
      <c r="G940" s="24"/>
      <c r="H940" s="53"/>
      <c r="I940" s="24"/>
      <c r="J940" s="24"/>
      <c r="K940" s="24"/>
    </row>
    <row r="941" spans="3:11" x14ac:dyDescent="0.25">
      <c r="C941" s="52"/>
      <c r="D941" s="48"/>
      <c r="E941" s="34"/>
      <c r="F941" s="24"/>
      <c r="G941" s="24"/>
      <c r="H941" s="53"/>
      <c r="I941" s="24"/>
      <c r="J941" s="24"/>
      <c r="K941" s="24"/>
    </row>
    <row r="942" spans="3:11" x14ac:dyDescent="0.25">
      <c r="C942" s="52"/>
      <c r="D942" s="48"/>
      <c r="E942" s="34"/>
      <c r="F942" s="24"/>
      <c r="G942" s="24"/>
      <c r="H942" s="53"/>
      <c r="I942" s="24"/>
      <c r="J942" s="24"/>
      <c r="K942" s="24"/>
    </row>
    <row r="943" spans="3:11" x14ac:dyDescent="0.25">
      <c r="C943" s="52"/>
      <c r="D943" s="48"/>
      <c r="E943" s="34"/>
      <c r="F943" s="24"/>
      <c r="G943" s="24"/>
      <c r="H943" s="53"/>
      <c r="I943" s="24"/>
      <c r="J943" s="24"/>
      <c r="K943" s="24"/>
    </row>
    <row r="944" spans="3:11" x14ac:dyDescent="0.25">
      <c r="C944" s="52"/>
      <c r="D944" s="48"/>
      <c r="E944" s="34"/>
      <c r="F944" s="24"/>
      <c r="G944" s="24"/>
      <c r="H944" s="53"/>
      <c r="I944" s="24"/>
      <c r="J944" s="24"/>
      <c r="K944" s="24"/>
    </row>
    <row r="945" spans="3:11" x14ac:dyDescent="0.25">
      <c r="C945" s="52"/>
      <c r="D945" s="48"/>
      <c r="E945" s="34"/>
      <c r="F945" s="24"/>
      <c r="G945" s="24"/>
      <c r="H945" s="53"/>
      <c r="I945" s="24"/>
      <c r="J945" s="24"/>
      <c r="K945" s="24"/>
    </row>
    <row r="946" spans="3:11" x14ac:dyDescent="0.25">
      <c r="C946" s="52"/>
      <c r="D946" s="48"/>
      <c r="E946" s="34"/>
      <c r="F946" s="24"/>
      <c r="G946" s="24"/>
      <c r="H946" s="53"/>
      <c r="I946" s="24"/>
      <c r="J946" s="24"/>
      <c r="K946" s="24"/>
    </row>
    <row r="947" spans="3:11" x14ac:dyDescent="0.25">
      <c r="C947" s="52"/>
      <c r="D947" s="48"/>
      <c r="E947" s="34"/>
      <c r="F947" s="24"/>
      <c r="G947" s="24"/>
      <c r="H947" s="53"/>
      <c r="I947" s="24"/>
      <c r="J947" s="24"/>
      <c r="K947" s="24"/>
    </row>
    <row r="948" spans="3:11" x14ac:dyDescent="0.25">
      <c r="C948" s="52"/>
      <c r="D948" s="48"/>
      <c r="E948" s="34"/>
      <c r="F948" s="24"/>
      <c r="G948" s="24"/>
      <c r="H948" s="53"/>
      <c r="I948" s="24"/>
      <c r="J948" s="24"/>
      <c r="K948" s="24"/>
    </row>
    <row r="949" spans="3:11" x14ac:dyDescent="0.25">
      <c r="C949" s="52"/>
      <c r="D949" s="48"/>
      <c r="E949" s="34"/>
      <c r="F949" s="24"/>
      <c r="G949" s="24"/>
      <c r="H949" s="53"/>
      <c r="I949" s="24"/>
      <c r="J949" s="24"/>
      <c r="K949" s="24"/>
    </row>
    <row r="950" spans="3:11" x14ac:dyDescent="0.25">
      <c r="C950" s="52"/>
      <c r="D950" s="48"/>
      <c r="E950" s="34"/>
      <c r="F950" s="24"/>
      <c r="G950" s="24"/>
      <c r="H950" s="53"/>
      <c r="I950" s="24"/>
      <c r="J950" s="24"/>
      <c r="K950" s="24"/>
    </row>
    <row r="951" spans="3:11" x14ac:dyDescent="0.25">
      <c r="C951" s="52"/>
      <c r="D951" s="48"/>
      <c r="E951" s="34"/>
      <c r="F951" s="24"/>
      <c r="G951" s="24"/>
      <c r="H951" s="53"/>
      <c r="I951" s="24"/>
      <c r="J951" s="24"/>
      <c r="K951" s="24"/>
    </row>
    <row r="952" spans="3:11" x14ac:dyDescent="0.25">
      <c r="C952" s="52"/>
      <c r="D952" s="48"/>
      <c r="E952" s="34"/>
      <c r="F952" s="24"/>
      <c r="G952" s="24"/>
      <c r="H952" s="53"/>
      <c r="I952" s="24"/>
      <c r="J952" s="24"/>
      <c r="K952" s="24"/>
    </row>
    <row r="953" spans="3:11" x14ac:dyDescent="0.25">
      <c r="C953" s="52"/>
      <c r="D953" s="48"/>
      <c r="E953" s="34"/>
      <c r="F953" s="24"/>
      <c r="G953" s="24"/>
      <c r="H953" s="53"/>
      <c r="I953" s="24"/>
      <c r="J953" s="24"/>
      <c r="K953" s="24"/>
    </row>
    <row r="954" spans="3:11" x14ac:dyDescent="0.25">
      <c r="C954" s="52"/>
      <c r="D954" s="48"/>
      <c r="E954" s="34"/>
      <c r="F954" s="24"/>
      <c r="G954" s="24"/>
      <c r="H954" s="53"/>
      <c r="I954" s="24"/>
      <c r="J954" s="24"/>
      <c r="K954" s="24"/>
    </row>
    <row r="955" spans="3:11" x14ac:dyDescent="0.25">
      <c r="C955" s="52"/>
      <c r="D955" s="48"/>
      <c r="E955" s="34"/>
      <c r="F955" s="24"/>
      <c r="G955" s="24"/>
      <c r="H955" s="53"/>
      <c r="I955" s="24"/>
      <c r="J955" s="24"/>
      <c r="K955" s="24"/>
    </row>
    <row r="956" spans="3:11" x14ac:dyDescent="0.25">
      <c r="C956" s="52"/>
      <c r="D956" s="48"/>
      <c r="E956" s="34"/>
      <c r="F956" s="24"/>
      <c r="G956" s="24"/>
      <c r="H956" s="53"/>
      <c r="I956" s="24"/>
      <c r="J956" s="24"/>
      <c r="K956" s="24"/>
    </row>
    <row r="957" spans="3:11" x14ac:dyDescent="0.25">
      <c r="C957" s="52"/>
      <c r="D957" s="48"/>
      <c r="E957" s="34"/>
      <c r="F957" s="24"/>
      <c r="G957" s="24"/>
      <c r="H957" s="53"/>
      <c r="I957" s="24"/>
      <c r="J957" s="24"/>
      <c r="K957" s="24"/>
    </row>
    <row r="958" spans="3:11" x14ac:dyDescent="0.25">
      <c r="C958" s="52"/>
      <c r="D958" s="48"/>
      <c r="E958" s="34"/>
      <c r="F958" s="24"/>
      <c r="G958" s="24"/>
      <c r="H958" s="53"/>
      <c r="I958" s="24"/>
      <c r="J958" s="24"/>
      <c r="K958" s="24"/>
    </row>
    <row r="959" spans="3:11" x14ac:dyDescent="0.25">
      <c r="C959" s="52"/>
      <c r="D959" s="48"/>
      <c r="E959" s="34"/>
      <c r="F959" s="24"/>
      <c r="G959" s="24"/>
      <c r="H959" s="53"/>
      <c r="I959" s="24"/>
      <c r="J959" s="24"/>
      <c r="K959" s="24"/>
    </row>
    <row r="960" spans="3:11" x14ac:dyDescent="0.25">
      <c r="C960" s="52"/>
      <c r="D960" s="48"/>
      <c r="E960" s="34"/>
      <c r="F960" s="24"/>
      <c r="G960" s="24"/>
      <c r="H960" s="53"/>
      <c r="I960" s="24"/>
      <c r="J960" s="24"/>
      <c r="K960" s="24"/>
    </row>
    <row r="961" spans="3:11" x14ac:dyDescent="0.25">
      <c r="C961" s="52"/>
      <c r="D961" s="48"/>
      <c r="E961" s="34"/>
      <c r="F961" s="24"/>
      <c r="G961" s="24"/>
      <c r="H961" s="53"/>
      <c r="I961" s="24"/>
      <c r="J961" s="24"/>
      <c r="K961" s="24"/>
    </row>
    <row r="962" spans="3:11" x14ac:dyDescent="0.25">
      <c r="C962" s="54"/>
      <c r="D962" s="48"/>
      <c r="E962" s="34"/>
      <c r="F962" s="24"/>
      <c r="G962" s="24"/>
      <c r="H962" s="55"/>
      <c r="I962" s="24"/>
      <c r="J962" s="24"/>
      <c r="K962" s="24"/>
    </row>
    <row r="963" spans="3:11" x14ac:dyDescent="0.25">
      <c r="C963" s="54"/>
      <c r="D963" s="48"/>
      <c r="E963" s="34"/>
      <c r="F963" s="24"/>
      <c r="G963" s="24"/>
      <c r="H963" s="55"/>
      <c r="I963" s="24"/>
      <c r="J963" s="24"/>
      <c r="K963" s="24"/>
    </row>
    <row r="964" spans="3:11" x14ac:dyDescent="0.25">
      <c r="C964" s="54"/>
      <c r="D964" s="48"/>
      <c r="E964" s="34"/>
      <c r="F964" s="24"/>
      <c r="G964" s="24"/>
      <c r="H964" s="55"/>
      <c r="I964" s="24"/>
      <c r="J964" s="24"/>
      <c r="K964" s="24"/>
    </row>
    <row r="965" spans="3:11" x14ac:dyDescent="0.25">
      <c r="C965" s="54"/>
      <c r="D965" s="48"/>
      <c r="E965" s="34"/>
      <c r="F965" s="24"/>
      <c r="G965" s="24"/>
      <c r="H965" s="55"/>
      <c r="I965" s="24"/>
      <c r="J965" s="24"/>
      <c r="K965" s="24"/>
    </row>
    <row r="966" spans="3:11" x14ac:dyDescent="0.25">
      <c r="C966" s="54"/>
      <c r="D966" s="48"/>
      <c r="E966" s="34"/>
      <c r="F966" s="24"/>
      <c r="G966" s="24"/>
      <c r="H966" s="55"/>
      <c r="I966" s="24"/>
      <c r="J966" s="24"/>
      <c r="K966" s="24"/>
    </row>
    <row r="967" spans="3:11" x14ac:dyDescent="0.25">
      <c r="C967" s="54"/>
      <c r="D967" s="48"/>
      <c r="E967" s="34"/>
      <c r="F967" s="24"/>
      <c r="G967" s="24"/>
      <c r="H967" s="55"/>
      <c r="I967" s="24"/>
      <c r="J967" s="24"/>
      <c r="K967" s="24"/>
    </row>
    <row r="968" spans="3:11" x14ac:dyDescent="0.25">
      <c r="C968" s="54"/>
      <c r="D968" s="48"/>
      <c r="E968" s="34"/>
      <c r="F968" s="24"/>
      <c r="G968" s="24"/>
      <c r="H968" s="55"/>
      <c r="I968" s="24"/>
      <c r="J968" s="24"/>
      <c r="K968" s="24"/>
    </row>
    <row r="969" spans="3:11" x14ac:dyDescent="0.25">
      <c r="C969" s="54"/>
      <c r="D969" s="48"/>
      <c r="E969" s="34"/>
      <c r="F969" s="24"/>
      <c r="G969" s="24"/>
      <c r="H969" s="55"/>
      <c r="I969" s="24"/>
      <c r="J969" s="24"/>
      <c r="K969" s="24"/>
    </row>
    <row r="970" spans="3:11" x14ac:dyDescent="0.25">
      <c r="C970" s="56"/>
      <c r="D970" s="48"/>
      <c r="E970" s="34"/>
      <c r="F970" s="24"/>
      <c r="G970" s="24"/>
      <c r="H970" s="24"/>
      <c r="I970" s="24"/>
      <c r="J970" s="24"/>
      <c r="K970" s="24"/>
    </row>
    <row r="971" spans="3:11" x14ac:dyDescent="0.25">
      <c r="C971" s="57"/>
      <c r="D971" s="48"/>
      <c r="E971" s="34"/>
      <c r="F971" s="24"/>
      <c r="G971" s="24"/>
      <c r="H971" s="58"/>
      <c r="I971" s="24"/>
      <c r="J971" s="24"/>
      <c r="K971" s="24"/>
    </row>
    <row r="972" spans="3:11" x14ac:dyDescent="0.25">
      <c r="C972" s="59"/>
      <c r="D972" s="48"/>
      <c r="E972" s="34"/>
      <c r="F972" s="24"/>
      <c r="G972" s="24"/>
      <c r="H972" s="24"/>
      <c r="I972" s="24"/>
      <c r="J972" s="24"/>
      <c r="K972" s="24"/>
    </row>
    <row r="973" spans="3:11" x14ac:dyDescent="0.25">
      <c r="C973" s="60"/>
      <c r="D973" s="48"/>
      <c r="E973" s="34"/>
      <c r="F973" s="24"/>
      <c r="G973" s="24"/>
      <c r="H973" s="24"/>
      <c r="I973" s="24"/>
      <c r="J973" s="24"/>
      <c r="K973" s="24"/>
    </row>
    <row r="974" spans="3:11" x14ac:dyDescent="0.25">
      <c r="C974" s="52"/>
      <c r="D974" s="48"/>
      <c r="E974" s="34"/>
      <c r="F974" s="24"/>
      <c r="G974" s="24"/>
      <c r="H974" s="53"/>
      <c r="I974" s="24"/>
      <c r="J974" s="24"/>
      <c r="K974" s="24"/>
    </row>
    <row r="975" spans="3:11" x14ac:dyDescent="0.25">
      <c r="C975" s="54"/>
      <c r="D975" s="48"/>
      <c r="E975" s="34"/>
      <c r="F975" s="24"/>
      <c r="G975" s="24"/>
      <c r="H975" s="55"/>
      <c r="I975" s="24"/>
      <c r="J975" s="24"/>
      <c r="K975" s="24"/>
    </row>
    <row r="976" spans="3:11" x14ac:dyDescent="0.25">
      <c r="C976" s="52"/>
      <c r="D976" s="48"/>
      <c r="E976" s="34"/>
      <c r="F976" s="24"/>
      <c r="G976" s="24"/>
      <c r="H976" s="53"/>
      <c r="I976" s="24"/>
      <c r="J976" s="24"/>
      <c r="K976" s="24"/>
    </row>
    <row r="977" spans="3:11" x14ac:dyDescent="0.25">
      <c r="C977" s="54"/>
      <c r="D977" s="48"/>
      <c r="E977" s="34"/>
      <c r="F977" s="24"/>
      <c r="G977" s="24"/>
      <c r="H977" s="55"/>
      <c r="I977" s="24"/>
      <c r="J977" s="24"/>
      <c r="K977" s="24"/>
    </row>
    <row r="978" spans="3:11" x14ac:dyDescent="0.25">
      <c r="C978" s="54"/>
      <c r="D978" s="48"/>
      <c r="E978" s="34"/>
      <c r="F978" s="24"/>
      <c r="G978" s="24"/>
      <c r="H978" s="55"/>
      <c r="I978" s="24"/>
      <c r="J978" s="24"/>
      <c r="K978" s="24"/>
    </row>
    <row r="979" spans="3:11" x14ac:dyDescent="0.25">
      <c r="C979" s="54"/>
      <c r="D979" s="48"/>
      <c r="E979" s="34"/>
      <c r="F979" s="24"/>
      <c r="G979" s="24"/>
      <c r="H979" s="55"/>
      <c r="I979" s="24"/>
      <c r="J979" s="24"/>
      <c r="K979" s="24"/>
    </row>
    <row r="980" spans="3:11" x14ac:dyDescent="0.25">
      <c r="C980" s="54"/>
      <c r="D980" s="48"/>
      <c r="E980" s="34"/>
      <c r="F980" s="24"/>
      <c r="G980" s="24"/>
      <c r="H980" s="55"/>
      <c r="I980" s="24"/>
      <c r="J980" s="24"/>
      <c r="K980" s="24"/>
    </row>
    <row r="981" spans="3:11" x14ac:dyDescent="0.25">
      <c r="C981" s="54"/>
      <c r="D981" s="48"/>
      <c r="E981" s="34"/>
      <c r="F981" s="24"/>
      <c r="G981" s="24"/>
      <c r="H981" s="55"/>
      <c r="I981" s="24"/>
      <c r="J981" s="24"/>
      <c r="K981" s="24"/>
    </row>
    <row r="982" spans="3:11" x14ac:dyDescent="0.25">
      <c r="C982" s="54"/>
      <c r="D982" s="48"/>
      <c r="E982" s="34"/>
      <c r="F982" s="24"/>
      <c r="G982" s="24"/>
      <c r="H982" s="55"/>
      <c r="I982" s="24"/>
      <c r="J982" s="24"/>
      <c r="K982" s="24"/>
    </row>
    <row r="983" spans="3:11" x14ac:dyDescent="0.25">
      <c r="C983" s="54"/>
      <c r="D983" s="48"/>
      <c r="E983" s="34"/>
      <c r="F983" s="24"/>
      <c r="G983" s="24"/>
      <c r="H983" s="55"/>
      <c r="I983" s="24"/>
      <c r="J983" s="24"/>
      <c r="K983" s="24"/>
    </row>
    <row r="984" spans="3:11" x14ac:dyDescent="0.25">
      <c r="C984" s="54"/>
      <c r="D984" s="48"/>
      <c r="E984" s="34"/>
      <c r="F984" s="24"/>
      <c r="G984" s="24"/>
      <c r="H984" s="55"/>
      <c r="I984" s="24"/>
      <c r="J984" s="24"/>
      <c r="K984" s="24"/>
    </row>
    <row r="985" spans="3:11" x14ac:dyDescent="0.25">
      <c r="C985" s="54"/>
      <c r="D985" s="48"/>
      <c r="E985" s="34"/>
      <c r="F985" s="24"/>
      <c r="G985" s="24"/>
      <c r="H985" s="55"/>
      <c r="I985" s="24"/>
      <c r="J985" s="24"/>
      <c r="K985" s="24"/>
    </row>
    <row r="986" spans="3:11" x14ac:dyDescent="0.25">
      <c r="C986" s="54"/>
      <c r="D986" s="48"/>
      <c r="E986" s="34"/>
      <c r="F986" s="24"/>
      <c r="G986" s="24"/>
      <c r="H986" s="55"/>
      <c r="I986" s="24"/>
      <c r="J986" s="24"/>
      <c r="K986" s="24"/>
    </row>
    <row r="987" spans="3:11" x14ac:dyDescent="0.25">
      <c r="C987" s="54"/>
      <c r="D987" s="48"/>
      <c r="E987" s="34"/>
      <c r="F987" s="24"/>
      <c r="G987" s="24"/>
      <c r="H987" s="55"/>
      <c r="I987" s="24"/>
      <c r="J987" s="24"/>
      <c r="K987" s="24"/>
    </row>
    <row r="988" spans="3:11" x14ac:dyDescent="0.25">
      <c r="C988" s="54"/>
      <c r="D988" s="48"/>
      <c r="E988" s="34"/>
      <c r="F988" s="24"/>
      <c r="G988" s="24"/>
      <c r="H988" s="55"/>
      <c r="I988" s="24"/>
      <c r="J988" s="24"/>
      <c r="K988" s="24"/>
    </row>
    <row r="989" spans="3:11" x14ac:dyDescent="0.25">
      <c r="C989" s="52"/>
      <c r="D989" s="48"/>
      <c r="E989" s="34"/>
      <c r="F989" s="24"/>
      <c r="G989" s="24"/>
      <c r="H989" s="53"/>
      <c r="I989" s="24"/>
      <c r="J989" s="24"/>
      <c r="K989" s="24"/>
    </row>
    <row r="990" spans="3:11" x14ac:dyDescent="0.25">
      <c r="C990" s="54"/>
      <c r="D990" s="48"/>
      <c r="E990" s="34"/>
      <c r="F990" s="24"/>
      <c r="G990" s="24"/>
      <c r="H990" s="55"/>
      <c r="I990" s="24"/>
      <c r="J990" s="24"/>
      <c r="K990" s="24"/>
    </row>
    <row r="991" spans="3:11" x14ac:dyDescent="0.25">
      <c r="C991" s="54"/>
      <c r="D991" s="48"/>
      <c r="E991" s="34"/>
      <c r="F991" s="24"/>
      <c r="G991" s="24"/>
      <c r="H991" s="55"/>
      <c r="I991" s="24"/>
      <c r="J991" s="24"/>
      <c r="K991" s="24"/>
    </row>
    <row r="992" spans="3:11" x14ac:dyDescent="0.25">
      <c r="C992" s="54"/>
      <c r="D992" s="48"/>
      <c r="E992" s="34"/>
      <c r="F992" s="24"/>
      <c r="G992" s="24"/>
      <c r="H992" s="55"/>
      <c r="I992" s="24"/>
      <c r="J992" s="24"/>
      <c r="K992" s="24"/>
    </row>
    <row r="993" spans="3:11" x14ac:dyDescent="0.25">
      <c r="C993" s="54"/>
      <c r="D993" s="48"/>
      <c r="E993" s="34"/>
      <c r="F993" s="24"/>
      <c r="G993" s="24"/>
      <c r="H993" s="55"/>
      <c r="I993" s="24"/>
      <c r="J993" s="24"/>
      <c r="K993" s="24"/>
    </row>
    <row r="994" spans="3:11" x14ac:dyDescent="0.25">
      <c r="C994" s="54"/>
      <c r="D994" s="48"/>
      <c r="E994" s="34"/>
      <c r="F994" s="24"/>
      <c r="G994" s="24"/>
      <c r="H994" s="55"/>
      <c r="I994" s="24"/>
      <c r="J994" s="24"/>
      <c r="K994" s="24"/>
    </row>
    <row r="995" spans="3:11" x14ac:dyDescent="0.25">
      <c r="C995" s="54"/>
      <c r="D995" s="48"/>
      <c r="E995" s="34"/>
      <c r="F995" s="24"/>
      <c r="G995" s="24"/>
      <c r="H995" s="55"/>
      <c r="I995" s="24"/>
      <c r="J995" s="24"/>
      <c r="K995" s="24"/>
    </row>
    <row r="996" spans="3:11" x14ac:dyDescent="0.25">
      <c r="C996" s="52"/>
      <c r="D996" s="48"/>
      <c r="E996" s="34"/>
      <c r="F996" s="24"/>
      <c r="G996" s="24"/>
      <c r="H996" s="53"/>
      <c r="I996" s="24"/>
      <c r="J996" s="24"/>
      <c r="K996" s="24"/>
    </row>
    <row r="997" spans="3:11" x14ac:dyDescent="0.25">
      <c r="C997" s="52"/>
      <c r="D997" s="48"/>
      <c r="E997" s="34"/>
      <c r="F997" s="24"/>
      <c r="G997" s="24"/>
      <c r="H997" s="53"/>
      <c r="I997" s="24"/>
      <c r="J997" s="24"/>
      <c r="K997" s="24"/>
    </row>
    <row r="998" spans="3:11" x14ac:dyDescent="0.25">
      <c r="C998" s="52"/>
      <c r="D998" s="48"/>
      <c r="E998" s="34"/>
      <c r="F998" s="24"/>
      <c r="G998" s="24"/>
      <c r="H998" s="53"/>
      <c r="I998" s="24"/>
      <c r="J998" s="24"/>
      <c r="K998" s="24"/>
    </row>
    <row r="999" spans="3:11" x14ac:dyDescent="0.25">
      <c r="C999" s="52"/>
      <c r="D999" s="48"/>
      <c r="E999" s="34"/>
      <c r="F999" s="24"/>
      <c r="G999" s="24"/>
      <c r="H999" s="53"/>
      <c r="I999" s="24"/>
      <c r="J999" s="24"/>
      <c r="K999" s="24"/>
    </row>
    <row r="1000" spans="3:11" x14ac:dyDescent="0.25">
      <c r="C1000" s="52"/>
      <c r="D1000" s="48"/>
      <c r="E1000" s="34"/>
      <c r="F1000" s="24"/>
      <c r="G1000" s="24"/>
      <c r="H1000" s="53"/>
      <c r="I1000" s="24"/>
      <c r="J1000" s="24"/>
      <c r="K1000" s="24"/>
    </row>
    <row r="1001" spans="3:11" x14ac:dyDescent="0.25">
      <c r="C1001" s="61"/>
      <c r="D1001" s="48"/>
      <c r="E1001" s="34"/>
      <c r="F1001" s="24"/>
      <c r="G1001" s="24"/>
      <c r="H1001" s="24"/>
      <c r="I1001" s="24"/>
      <c r="J1001" s="24"/>
      <c r="K1001" s="24"/>
    </row>
    <row r="1002" spans="3:11" x14ac:dyDescent="0.25">
      <c r="C1002" s="61"/>
      <c r="D1002" s="48"/>
      <c r="E1002" s="34"/>
      <c r="F1002" s="24"/>
      <c r="G1002" s="24"/>
      <c r="H1002" s="24"/>
      <c r="I1002" s="24"/>
      <c r="J1002" s="24"/>
      <c r="K1002" s="24"/>
    </row>
    <row r="1003" spans="3:11" x14ac:dyDescent="0.25">
      <c r="C1003" s="52"/>
      <c r="D1003" s="48"/>
      <c r="E1003" s="34"/>
      <c r="F1003" s="24"/>
      <c r="G1003" s="24"/>
      <c r="H1003" s="53"/>
      <c r="I1003" s="24"/>
      <c r="J1003" s="24"/>
      <c r="K1003" s="24"/>
    </row>
    <row r="1004" spans="3:11" x14ac:dyDescent="0.25">
      <c r="C1004" s="52"/>
      <c r="D1004" s="48"/>
      <c r="E1004" s="34"/>
      <c r="F1004" s="24"/>
      <c r="G1004" s="24"/>
      <c r="H1004" s="53"/>
      <c r="I1004" s="24"/>
      <c r="J1004" s="24"/>
      <c r="K1004" s="24"/>
    </row>
    <row r="1005" spans="3:11" x14ac:dyDescent="0.25">
      <c r="C1005" s="54"/>
      <c r="D1005" s="48"/>
      <c r="E1005" s="34"/>
      <c r="F1005" s="24"/>
      <c r="G1005" s="24"/>
      <c r="H1005" s="55"/>
      <c r="I1005" s="24"/>
      <c r="J1005" s="24"/>
      <c r="K1005" s="24"/>
    </row>
    <row r="1006" spans="3:11" x14ac:dyDescent="0.25">
      <c r="C1006" s="62"/>
      <c r="D1006" s="48"/>
      <c r="E1006" s="34"/>
      <c r="F1006" s="24"/>
      <c r="G1006" s="24"/>
      <c r="H1006" s="63"/>
      <c r="I1006" s="24"/>
      <c r="J1006" s="24"/>
      <c r="K1006" s="24"/>
    </row>
    <row r="1007" spans="3:11" x14ac:dyDescent="0.25">
      <c r="C1007" s="62"/>
      <c r="D1007" s="48"/>
      <c r="E1007" s="34"/>
      <c r="F1007" s="24"/>
      <c r="G1007" s="24"/>
      <c r="H1007" s="63"/>
      <c r="I1007" s="24"/>
      <c r="J1007" s="24"/>
      <c r="K1007" s="24"/>
    </row>
    <row r="1008" spans="3:11" x14ac:dyDescent="0.25">
      <c r="C1008" s="62"/>
      <c r="D1008" s="48"/>
      <c r="E1008" s="34"/>
      <c r="F1008" s="24"/>
      <c r="G1008" s="24"/>
      <c r="H1008" s="63"/>
      <c r="I1008" s="24"/>
      <c r="J1008" s="24"/>
      <c r="K1008" s="24"/>
    </row>
    <row r="1009" spans="3:11" x14ac:dyDescent="0.25">
      <c r="C1009" s="61"/>
      <c r="D1009" s="48"/>
      <c r="E1009" s="34"/>
      <c r="F1009" s="24"/>
      <c r="G1009" s="24"/>
      <c r="H1009" s="24"/>
      <c r="I1009" s="24"/>
      <c r="J1009" s="24"/>
      <c r="K1009" s="24"/>
    </row>
    <row r="1010" spans="3:11" x14ac:dyDescent="0.25">
      <c r="C1010" s="52"/>
      <c r="D1010" s="48"/>
      <c r="E1010" s="34"/>
      <c r="F1010" s="24"/>
      <c r="G1010" s="24"/>
      <c r="H1010" s="53"/>
      <c r="I1010" s="24"/>
      <c r="J1010" s="24"/>
      <c r="K1010" s="24"/>
    </row>
    <row r="1011" spans="3:11" x14ac:dyDescent="0.25">
      <c r="C1011" s="64"/>
      <c r="D1011" s="48"/>
      <c r="E1011" s="34"/>
      <c r="F1011" s="24"/>
      <c r="G1011" s="24"/>
      <c r="H1011" s="24"/>
      <c r="I1011" s="24"/>
      <c r="J1011" s="24"/>
      <c r="K1011" s="24"/>
    </row>
    <row r="1012" spans="3:11" x14ac:dyDescent="0.25">
      <c r="C1012" s="62"/>
      <c r="D1012" s="48"/>
      <c r="E1012" s="34"/>
      <c r="F1012" s="24"/>
      <c r="G1012" s="24"/>
      <c r="H1012" s="63"/>
      <c r="I1012" s="24"/>
      <c r="J1012" s="24"/>
      <c r="K1012" s="24"/>
    </row>
    <row r="1013" spans="3:11" x14ac:dyDescent="0.25">
      <c r="C1013" s="54"/>
      <c r="D1013" s="48"/>
      <c r="E1013" s="34"/>
      <c r="F1013" s="24"/>
      <c r="G1013" s="24"/>
      <c r="H1013" s="55"/>
      <c r="I1013" s="24"/>
      <c r="J1013" s="24"/>
      <c r="K1013" s="24"/>
    </row>
    <row r="1014" spans="3:11" x14ac:dyDescent="0.25">
      <c r="C1014" s="52"/>
      <c r="D1014" s="48"/>
      <c r="E1014" s="34"/>
      <c r="F1014" s="24"/>
      <c r="G1014" s="24"/>
      <c r="H1014" s="53"/>
      <c r="I1014" s="24"/>
      <c r="J1014" s="24"/>
      <c r="K1014" s="24"/>
    </row>
    <row r="1015" spans="3:11" x14ac:dyDescent="0.25">
      <c r="C1015" s="52"/>
      <c r="D1015" s="48"/>
      <c r="E1015" s="34"/>
      <c r="F1015" s="24"/>
      <c r="G1015" s="24"/>
      <c r="H1015" s="53"/>
      <c r="I1015" s="24"/>
      <c r="J1015" s="24"/>
      <c r="K1015" s="24"/>
    </row>
    <row r="1016" spans="3:11" x14ac:dyDescent="0.25">
      <c r="C1016" s="52"/>
      <c r="D1016" s="48"/>
      <c r="E1016" s="34"/>
      <c r="F1016" s="24"/>
      <c r="G1016" s="24"/>
      <c r="H1016" s="53"/>
      <c r="I1016" s="24"/>
      <c r="J1016" s="24"/>
      <c r="K1016" s="24"/>
    </row>
    <row r="1017" spans="3:11" x14ac:dyDescent="0.25">
      <c r="C1017" s="52"/>
      <c r="D1017" s="48"/>
      <c r="E1017" s="34"/>
      <c r="F1017" s="24"/>
      <c r="G1017" s="24"/>
      <c r="H1017" s="53"/>
      <c r="I1017" s="24"/>
      <c r="J1017" s="24"/>
      <c r="K1017" s="24"/>
    </row>
    <row r="1018" spans="3:11" x14ac:dyDescent="0.25">
      <c r="C1018" s="52"/>
      <c r="D1018" s="48"/>
      <c r="E1018" s="34"/>
      <c r="F1018" s="24"/>
      <c r="G1018" s="24"/>
      <c r="H1018" s="53"/>
      <c r="I1018" s="24"/>
      <c r="J1018" s="24"/>
      <c r="K1018" s="24"/>
    </row>
    <row r="1019" spans="3:11" x14ac:dyDescent="0.25">
      <c r="C1019" s="52"/>
      <c r="D1019" s="48"/>
      <c r="E1019" s="34"/>
      <c r="F1019" s="24"/>
      <c r="G1019" s="24"/>
      <c r="H1019" s="53"/>
      <c r="I1019" s="24"/>
      <c r="J1019" s="24"/>
      <c r="K1019" s="24"/>
    </row>
    <row r="1020" spans="3:11" x14ac:dyDescent="0.25">
      <c r="C1020" s="52"/>
      <c r="D1020" s="48"/>
      <c r="E1020" s="34"/>
      <c r="F1020" s="24"/>
      <c r="G1020" s="24"/>
      <c r="H1020" s="53"/>
      <c r="I1020" s="24"/>
      <c r="J1020" s="24"/>
      <c r="K1020" s="24"/>
    </row>
    <row r="1021" spans="3:11" x14ac:dyDescent="0.25">
      <c r="C1021" s="52"/>
      <c r="D1021" s="48"/>
      <c r="E1021" s="34"/>
      <c r="F1021" s="24"/>
      <c r="G1021" s="24"/>
      <c r="H1021" s="53"/>
      <c r="I1021" s="24"/>
      <c r="J1021" s="24"/>
      <c r="K1021" s="24"/>
    </row>
    <row r="1022" spans="3:11" x14ac:dyDescent="0.25">
      <c r="C1022" s="52"/>
      <c r="D1022" s="48"/>
      <c r="E1022" s="34"/>
      <c r="F1022" s="24"/>
      <c r="G1022" s="24"/>
      <c r="H1022" s="53"/>
      <c r="I1022" s="24"/>
      <c r="J1022" s="24"/>
      <c r="K1022" s="24"/>
    </row>
    <row r="1023" spans="3:11" x14ac:dyDescent="0.25">
      <c r="C1023" s="61"/>
      <c r="D1023" s="48"/>
      <c r="E1023" s="34"/>
      <c r="F1023" s="24"/>
      <c r="G1023" s="24"/>
      <c r="H1023" s="24"/>
      <c r="I1023" s="24"/>
      <c r="J1023" s="24"/>
      <c r="K1023" s="24"/>
    </row>
    <row r="1024" spans="3:11" x14ac:dyDescent="0.25">
      <c r="C1024" s="52"/>
      <c r="D1024" s="48"/>
      <c r="E1024" s="34"/>
      <c r="F1024" s="24"/>
      <c r="G1024" s="24"/>
      <c r="H1024" s="53"/>
      <c r="I1024" s="24"/>
      <c r="J1024" s="24"/>
      <c r="K1024" s="24"/>
    </row>
    <row r="1025" spans="4:4" x14ac:dyDescent="0.25">
      <c r="D1025" s="65"/>
    </row>
    <row r="1026" spans="4:4" x14ac:dyDescent="0.25">
      <c r="D1026" s="65"/>
    </row>
    <row r="1027" spans="4:4" x14ac:dyDescent="0.25">
      <c r="D1027" s="65"/>
    </row>
    <row r="1028" spans="4:4" x14ac:dyDescent="0.25">
      <c r="D1028" s="65"/>
    </row>
    <row r="1029" spans="4:4" x14ac:dyDescent="0.25">
      <c r="D1029" s="65"/>
    </row>
    <row r="1030" spans="4:4" x14ac:dyDescent="0.25">
      <c r="D1030" s="65"/>
    </row>
    <row r="1031" spans="4:4" x14ac:dyDescent="0.25">
      <c r="D1031" s="65"/>
    </row>
    <row r="1032" spans="4:4" x14ac:dyDescent="0.25">
      <c r="D1032" s="65"/>
    </row>
    <row r="1033" spans="4:4" x14ac:dyDescent="0.25">
      <c r="D1033" s="65"/>
    </row>
    <row r="1034" spans="4:4" x14ac:dyDescent="0.25">
      <c r="D1034" s="65"/>
    </row>
    <row r="1035" spans="4:4" x14ac:dyDescent="0.25">
      <c r="D1035" s="65"/>
    </row>
    <row r="1036" spans="4:4" x14ac:dyDescent="0.25">
      <c r="D1036" s="65"/>
    </row>
    <row r="1037" spans="4:4" x14ac:dyDescent="0.25">
      <c r="D1037" s="65"/>
    </row>
    <row r="1038" spans="4:4" x14ac:dyDescent="0.25">
      <c r="D1038" s="65"/>
    </row>
    <row r="1039" spans="4:4" x14ac:dyDescent="0.25">
      <c r="D1039" s="65"/>
    </row>
    <row r="1040" spans="4:4" x14ac:dyDescent="0.25">
      <c r="D1040" s="65"/>
    </row>
    <row r="1041" spans="4:4" x14ac:dyDescent="0.25">
      <c r="D1041" s="65"/>
    </row>
    <row r="1042" spans="4:4" x14ac:dyDescent="0.25">
      <c r="D1042" s="65"/>
    </row>
    <row r="1043" spans="4:4" x14ac:dyDescent="0.25">
      <c r="D1043" s="65"/>
    </row>
    <row r="1044" spans="4:4" x14ac:dyDescent="0.25">
      <c r="D1044" s="65"/>
    </row>
    <row r="1045" spans="4:4" x14ac:dyDescent="0.25">
      <c r="D1045" s="65"/>
    </row>
    <row r="1046" spans="4:4" x14ac:dyDescent="0.25">
      <c r="D1046" s="65"/>
    </row>
    <row r="1047" spans="4:4" x14ac:dyDescent="0.25">
      <c r="D1047" s="65"/>
    </row>
    <row r="1048" spans="4:4" x14ac:dyDescent="0.25">
      <c r="D1048" s="65"/>
    </row>
    <row r="1049" spans="4:4" x14ac:dyDescent="0.25">
      <c r="D1049" s="65"/>
    </row>
    <row r="1050" spans="4:4" x14ac:dyDescent="0.25">
      <c r="D1050" s="65"/>
    </row>
    <row r="1051" spans="4:4" x14ac:dyDescent="0.25">
      <c r="D1051" s="65"/>
    </row>
    <row r="1052" spans="4:4" x14ac:dyDescent="0.25">
      <c r="D1052" s="65"/>
    </row>
    <row r="1053" spans="4:4" x14ac:dyDescent="0.25">
      <c r="D1053" s="65"/>
    </row>
    <row r="1054" spans="4:4" x14ac:dyDescent="0.25">
      <c r="D1054" s="65"/>
    </row>
    <row r="1055" spans="4:4" x14ac:dyDescent="0.25">
      <c r="D1055" s="65"/>
    </row>
    <row r="1056" spans="4:4" x14ac:dyDescent="0.25">
      <c r="D1056" s="65"/>
    </row>
    <row r="1057" spans="4:4" x14ac:dyDescent="0.25">
      <c r="D1057" s="65"/>
    </row>
    <row r="1058" spans="4:4" x14ac:dyDescent="0.25">
      <c r="D1058" s="65"/>
    </row>
    <row r="1059" spans="4:4" x14ac:dyDescent="0.25">
      <c r="D1059" s="65"/>
    </row>
    <row r="1060" spans="4:4" x14ac:dyDescent="0.25">
      <c r="D1060" s="65"/>
    </row>
    <row r="1061" spans="4:4" x14ac:dyDescent="0.25">
      <c r="D1061" s="65"/>
    </row>
    <row r="1062" spans="4:4" x14ac:dyDescent="0.25">
      <c r="D1062" s="65"/>
    </row>
    <row r="1063" spans="4:4" x14ac:dyDescent="0.25">
      <c r="D1063" s="65"/>
    </row>
    <row r="1064" spans="4:4" x14ac:dyDescent="0.25">
      <c r="D1064" s="65"/>
    </row>
    <row r="1065" spans="4:4" x14ac:dyDescent="0.25">
      <c r="D1065" s="65"/>
    </row>
    <row r="1066" spans="4:4" x14ac:dyDescent="0.25">
      <c r="D1066" s="65"/>
    </row>
    <row r="1067" spans="4:4" x14ac:dyDescent="0.25">
      <c r="D1067" s="65"/>
    </row>
    <row r="1068" spans="4:4" x14ac:dyDescent="0.25">
      <c r="D1068" s="65"/>
    </row>
    <row r="1069" spans="4:4" x14ac:dyDescent="0.25">
      <c r="D1069" s="65"/>
    </row>
    <row r="1070" spans="4:4" x14ac:dyDescent="0.25">
      <c r="D1070" s="65"/>
    </row>
    <row r="1071" spans="4:4" x14ac:dyDescent="0.25">
      <c r="D1071" s="65"/>
    </row>
    <row r="1072" spans="4:4" x14ac:dyDescent="0.25">
      <c r="D1072" s="65"/>
    </row>
    <row r="1073" spans="3:8" x14ac:dyDescent="0.25">
      <c r="D1073" s="65"/>
    </row>
    <row r="1074" spans="3:8" x14ac:dyDescent="0.25">
      <c r="D1074" s="65"/>
    </row>
    <row r="1075" spans="3:8" x14ac:dyDescent="0.25">
      <c r="D1075" s="65"/>
    </row>
    <row r="1076" spans="3:8" x14ac:dyDescent="0.25">
      <c r="D1076" s="65"/>
    </row>
    <row r="1077" spans="3:8" x14ac:dyDescent="0.25">
      <c r="D1077" s="65"/>
    </row>
    <row r="1078" spans="3:8" x14ac:dyDescent="0.25">
      <c r="D1078" s="65"/>
    </row>
    <row r="1079" spans="3:8" x14ac:dyDescent="0.25">
      <c r="D1079" s="65"/>
    </row>
    <row r="1080" spans="3:8" x14ac:dyDescent="0.25">
      <c r="D1080" s="65"/>
    </row>
    <row r="1081" spans="3:8" x14ac:dyDescent="0.25">
      <c r="D1081" s="65"/>
    </row>
    <row r="1082" spans="3:8" x14ac:dyDescent="0.25">
      <c r="D1082" s="7"/>
    </row>
    <row r="1083" spans="3:8" x14ac:dyDescent="0.25">
      <c r="C1083" s="66"/>
      <c r="D1083" s="66"/>
      <c r="E1083" s="66"/>
      <c r="F1083" s="67"/>
      <c r="G1083" s="67"/>
      <c r="H1083" s="30"/>
    </row>
    <row r="1084" spans="3:8" x14ac:dyDescent="0.25">
      <c r="C1084" s="66"/>
      <c r="D1084" s="66"/>
      <c r="E1084" s="66"/>
      <c r="F1084" s="67"/>
      <c r="G1084" s="67"/>
      <c r="H1084" s="30"/>
    </row>
    <row r="1085" spans="3:8" x14ac:dyDescent="0.25">
      <c r="C1085" s="66"/>
      <c r="D1085" s="66"/>
      <c r="E1085" s="66"/>
      <c r="F1085" s="67"/>
      <c r="G1085" s="67"/>
      <c r="H1085" s="30"/>
    </row>
    <row r="1086" spans="3:8" x14ac:dyDescent="0.25">
      <c r="C1086" s="66"/>
      <c r="D1086" s="66"/>
      <c r="E1086" s="66"/>
      <c r="F1086" s="67"/>
      <c r="G1086" s="67"/>
      <c r="H1086" s="30"/>
    </row>
    <row r="1087" spans="3:8" x14ac:dyDescent="0.25">
      <c r="C1087" s="66"/>
      <c r="D1087" s="66"/>
      <c r="E1087" s="66"/>
      <c r="F1087" s="67"/>
      <c r="G1087" s="67"/>
      <c r="H1087" s="30"/>
    </row>
    <row r="1088" spans="3:8" x14ac:dyDescent="0.25">
      <c r="C1088" s="66"/>
      <c r="D1088" s="66"/>
      <c r="E1088" s="66"/>
      <c r="F1088" s="67"/>
      <c r="G1088" s="67"/>
      <c r="H1088" s="30"/>
    </row>
    <row r="1089" spans="3:8" x14ac:dyDescent="0.25">
      <c r="C1089" s="66"/>
      <c r="D1089" s="66"/>
      <c r="E1089" s="66"/>
      <c r="F1089" s="67"/>
      <c r="G1089" s="67"/>
      <c r="H1089" s="30"/>
    </row>
    <row r="1090" spans="3:8" x14ac:dyDescent="0.25">
      <c r="C1090" s="66"/>
      <c r="D1090" s="66"/>
      <c r="E1090" s="66"/>
      <c r="F1090" s="67"/>
      <c r="G1090" s="67"/>
      <c r="H1090" s="30"/>
    </row>
    <row r="1091" spans="3:8" x14ac:dyDescent="0.25">
      <c r="C1091" s="66"/>
      <c r="D1091" s="66"/>
      <c r="E1091" s="66"/>
      <c r="F1091" s="67"/>
      <c r="G1091" s="67"/>
      <c r="H1091" s="30"/>
    </row>
    <row r="1092" spans="3:8" x14ac:dyDescent="0.25">
      <c r="C1092" s="66"/>
      <c r="D1092" s="66"/>
      <c r="E1092" s="66"/>
      <c r="F1092" s="67"/>
      <c r="G1092" s="67"/>
      <c r="H1092" s="30"/>
    </row>
    <row r="1093" spans="3:8" x14ac:dyDescent="0.25">
      <c r="C1093" s="66"/>
      <c r="D1093" s="66"/>
      <c r="E1093" s="66"/>
      <c r="F1093" s="67"/>
      <c r="G1093" s="67"/>
      <c r="H1093" s="30"/>
    </row>
    <row r="1094" spans="3:8" x14ac:dyDescent="0.25">
      <c r="C1094" s="66"/>
      <c r="D1094" s="66"/>
      <c r="E1094" s="66"/>
      <c r="F1094" s="67"/>
      <c r="G1094" s="67"/>
      <c r="H1094" s="30"/>
    </row>
    <row r="1095" spans="3:8" x14ac:dyDescent="0.25">
      <c r="C1095" s="66"/>
      <c r="D1095" s="66"/>
      <c r="E1095" s="66"/>
      <c r="F1095" s="67"/>
      <c r="G1095" s="67"/>
      <c r="H1095" s="30"/>
    </row>
    <row r="1096" spans="3:8" x14ac:dyDescent="0.25">
      <c r="C1096" s="66"/>
      <c r="D1096" s="66"/>
      <c r="E1096" s="66"/>
      <c r="F1096" s="67"/>
      <c r="G1096" s="67"/>
      <c r="H1096" s="30"/>
    </row>
    <row r="1097" spans="3:8" x14ac:dyDescent="0.25">
      <c r="C1097" s="66"/>
      <c r="D1097" s="66"/>
      <c r="E1097" s="66"/>
      <c r="F1097" s="67"/>
      <c r="G1097" s="67"/>
      <c r="H1097" s="30"/>
    </row>
    <row r="1098" spans="3:8" x14ac:dyDescent="0.25">
      <c r="C1098" s="66"/>
      <c r="D1098" s="66"/>
      <c r="E1098" s="66"/>
      <c r="F1098" s="67"/>
      <c r="G1098" s="67"/>
      <c r="H1098" s="30"/>
    </row>
    <row r="1099" spans="3:8" x14ac:dyDescent="0.25">
      <c r="C1099" s="66"/>
      <c r="D1099" s="66"/>
      <c r="E1099" s="66"/>
      <c r="F1099" s="67"/>
      <c r="G1099" s="67"/>
      <c r="H1099" s="30"/>
    </row>
    <row r="1100" spans="3:8" x14ac:dyDescent="0.25">
      <c r="C1100" s="66"/>
      <c r="D1100" s="66"/>
      <c r="E1100" s="66"/>
      <c r="F1100" s="67"/>
      <c r="G1100" s="67"/>
      <c r="H1100" s="30"/>
    </row>
    <row r="1101" spans="3:8" x14ac:dyDescent="0.25">
      <c r="C1101" s="66"/>
      <c r="D1101" s="66"/>
      <c r="E1101" s="66"/>
      <c r="F1101" s="67"/>
      <c r="G1101" s="67"/>
      <c r="H1101" s="30"/>
    </row>
    <row r="1102" spans="3:8" x14ac:dyDescent="0.25">
      <c r="C1102" s="66"/>
      <c r="D1102" s="66"/>
      <c r="E1102" s="66"/>
      <c r="F1102" s="67"/>
      <c r="G1102" s="67"/>
      <c r="H1102" s="30"/>
    </row>
    <row r="1103" spans="3:8" x14ac:dyDescent="0.25">
      <c r="C1103" s="66"/>
      <c r="D1103" s="66"/>
      <c r="E1103" s="66"/>
      <c r="F1103" s="67"/>
      <c r="G1103" s="67"/>
      <c r="H1103" s="30"/>
    </row>
    <row r="1104" spans="3:8" x14ac:dyDescent="0.25">
      <c r="C1104" s="66"/>
      <c r="D1104" s="66"/>
      <c r="E1104" s="66"/>
      <c r="F1104" s="67"/>
      <c r="G1104" s="67"/>
      <c r="H1104" s="30"/>
    </row>
    <row r="1105" spans="3:8" x14ac:dyDescent="0.25">
      <c r="C1105" s="66"/>
      <c r="D1105" s="66"/>
      <c r="E1105" s="66"/>
      <c r="F1105" s="67"/>
      <c r="G1105" s="67"/>
      <c r="H1105" s="19"/>
    </row>
    <row r="1106" spans="3:8" x14ac:dyDescent="0.25">
      <c r="C1106" s="66"/>
      <c r="D1106" s="66"/>
      <c r="E1106" s="66"/>
      <c r="F1106" s="67"/>
      <c r="G1106" s="67"/>
      <c r="H1106" s="30"/>
    </row>
    <row r="1107" spans="3:8" x14ac:dyDescent="0.25">
      <c r="C1107" s="66"/>
      <c r="D1107" s="66"/>
      <c r="E1107" s="66"/>
      <c r="F1107" s="67"/>
      <c r="G1107" s="67"/>
      <c r="H1107" s="19"/>
    </row>
    <row r="1108" spans="3:8" x14ac:dyDescent="0.25">
      <c r="C1108" s="66"/>
      <c r="D1108" s="66"/>
      <c r="E1108" s="66"/>
      <c r="F1108" s="67"/>
      <c r="G1108" s="67"/>
      <c r="H1108" s="19"/>
    </row>
    <row r="1109" spans="3:8" x14ac:dyDescent="0.25">
      <c r="C1109" s="66"/>
      <c r="D1109" s="66"/>
      <c r="E1109" s="66"/>
      <c r="F1109" s="67"/>
      <c r="G1109" s="67"/>
      <c r="H1109" s="19"/>
    </row>
    <row r="1110" spans="3:8" x14ac:dyDescent="0.25">
      <c r="C1110" s="66"/>
      <c r="D1110" s="66"/>
      <c r="E1110" s="66"/>
      <c r="F1110" s="67"/>
      <c r="G1110" s="67"/>
      <c r="H1110" s="19"/>
    </row>
    <row r="1111" spans="3:8" x14ac:dyDescent="0.25">
      <c r="C1111" s="66"/>
      <c r="D1111" s="66"/>
      <c r="E1111" s="66"/>
      <c r="F1111" s="67"/>
      <c r="G1111" s="67"/>
      <c r="H1111" s="19"/>
    </row>
    <row r="1112" spans="3:8" x14ac:dyDescent="0.25">
      <c r="C1112" s="66"/>
      <c r="D1112" s="66"/>
      <c r="E1112" s="66"/>
      <c r="F1112" s="67"/>
      <c r="G1112" s="67"/>
      <c r="H1112" s="19"/>
    </row>
    <row r="1113" spans="3:8" x14ac:dyDescent="0.25">
      <c r="C1113" s="66"/>
      <c r="D1113" s="66"/>
      <c r="E1113" s="66"/>
      <c r="F1113" s="67"/>
      <c r="G1113" s="67"/>
      <c r="H1113" s="19"/>
    </row>
    <row r="1114" spans="3:8" x14ac:dyDescent="0.25">
      <c r="C1114" s="66"/>
      <c r="D1114" s="66"/>
      <c r="E1114" s="66"/>
      <c r="F1114" s="67"/>
      <c r="G1114" s="67"/>
      <c r="H1114" s="19"/>
    </row>
    <row r="1115" spans="3:8" x14ac:dyDescent="0.25">
      <c r="C1115" s="66"/>
      <c r="D1115" s="66"/>
      <c r="E1115" s="66"/>
      <c r="F1115" s="67"/>
      <c r="G1115" s="67"/>
      <c r="H1115" s="19"/>
    </row>
    <row r="1116" spans="3:8" x14ac:dyDescent="0.25">
      <c r="C1116" s="66"/>
      <c r="D1116" s="66"/>
      <c r="E1116" s="66"/>
      <c r="F1116" s="67"/>
      <c r="G1116" s="67"/>
      <c r="H1116" s="19"/>
    </row>
    <row r="1117" spans="3:8" x14ac:dyDescent="0.25">
      <c r="C1117" s="66"/>
      <c r="D1117" s="66"/>
      <c r="E1117" s="66"/>
      <c r="F1117" s="67"/>
      <c r="G1117" s="67"/>
      <c r="H1117" s="19"/>
    </row>
    <row r="1118" spans="3:8" x14ac:dyDescent="0.25">
      <c r="C1118" s="66"/>
      <c r="D1118" s="66"/>
      <c r="E1118" s="66"/>
      <c r="F1118" s="67"/>
      <c r="G1118" s="67"/>
      <c r="H1118" s="19"/>
    </row>
    <row r="1119" spans="3:8" x14ac:dyDescent="0.25">
      <c r="C1119" s="66"/>
      <c r="D1119" s="66"/>
      <c r="E1119" s="66"/>
      <c r="F1119" s="67"/>
      <c r="G1119" s="67"/>
      <c r="H1119" s="19"/>
    </row>
    <row r="1120" spans="3:8" x14ac:dyDescent="0.25">
      <c r="C1120" s="66"/>
      <c r="D1120" s="66"/>
      <c r="E1120" s="66"/>
      <c r="F1120" s="67"/>
      <c r="G1120" s="67"/>
      <c r="H1120" s="19"/>
    </row>
    <row r="1121" spans="3:8" x14ac:dyDescent="0.25">
      <c r="C1121" s="66"/>
      <c r="D1121" s="66"/>
      <c r="E1121" s="66"/>
      <c r="F1121" s="67"/>
      <c r="G1121" s="67"/>
      <c r="H1121" s="19"/>
    </row>
    <row r="1122" spans="3:8" x14ac:dyDescent="0.25">
      <c r="C1122" s="66"/>
      <c r="D1122" s="66"/>
      <c r="E1122" s="66"/>
      <c r="F1122" s="67"/>
      <c r="G1122" s="67"/>
      <c r="H1122" s="19"/>
    </row>
    <row r="1123" spans="3:8" x14ac:dyDescent="0.25">
      <c r="C1123" s="66"/>
      <c r="D1123" s="66"/>
      <c r="E1123" s="66"/>
      <c r="F1123" s="67"/>
      <c r="G1123" s="67"/>
      <c r="H1123" s="19"/>
    </row>
    <row r="1124" spans="3:8" x14ac:dyDescent="0.25">
      <c r="C1124" s="66"/>
      <c r="D1124" s="66"/>
      <c r="E1124" s="66"/>
      <c r="F1124" s="67"/>
      <c r="G1124" s="67"/>
      <c r="H1124" s="19"/>
    </row>
    <row r="1125" spans="3:8" x14ac:dyDescent="0.25">
      <c r="C1125" s="66"/>
      <c r="D1125" s="66"/>
      <c r="E1125" s="66"/>
      <c r="F1125" s="67"/>
      <c r="G1125" s="67"/>
      <c r="H1125" s="30"/>
    </row>
    <row r="1126" spans="3:8" x14ac:dyDescent="0.25">
      <c r="C1126" s="66"/>
      <c r="D1126" s="66"/>
      <c r="E1126" s="66"/>
      <c r="F1126" s="67"/>
      <c r="G1126" s="67"/>
      <c r="H1126" s="19"/>
    </row>
    <row r="1127" spans="3:8" x14ac:dyDescent="0.25">
      <c r="C1127" s="66"/>
      <c r="D1127" s="66"/>
      <c r="E1127" s="66"/>
      <c r="F1127" s="67"/>
      <c r="G1127" s="67"/>
      <c r="H1127" s="19"/>
    </row>
    <row r="1128" spans="3:8" x14ac:dyDescent="0.25">
      <c r="C1128" s="66"/>
      <c r="D1128" s="66"/>
      <c r="E1128" s="66"/>
      <c r="F1128" s="67"/>
      <c r="G1128" s="67"/>
      <c r="H1128" s="19"/>
    </row>
    <row r="1129" spans="3:8" x14ac:dyDescent="0.25">
      <c r="C1129" s="66"/>
      <c r="D1129" s="66"/>
      <c r="E1129" s="66"/>
      <c r="F1129" s="67"/>
      <c r="G1129" s="67"/>
      <c r="H1129" s="19"/>
    </row>
    <row r="1130" spans="3:8" x14ac:dyDescent="0.25">
      <c r="C1130" s="66"/>
      <c r="D1130" s="66"/>
      <c r="E1130" s="66"/>
      <c r="F1130" s="67"/>
      <c r="G1130" s="67"/>
      <c r="H1130" s="19"/>
    </row>
    <row r="1131" spans="3:8" x14ac:dyDescent="0.25">
      <c r="C1131" s="66"/>
      <c r="D1131" s="66"/>
      <c r="E1131" s="66"/>
      <c r="F1131" s="67"/>
      <c r="G1131" s="67"/>
      <c r="H1131" s="19"/>
    </row>
    <row r="1132" spans="3:8" x14ac:dyDescent="0.25">
      <c r="C1132" s="66"/>
      <c r="D1132" s="66"/>
      <c r="E1132" s="66"/>
      <c r="F1132" s="67"/>
      <c r="G1132" s="67"/>
      <c r="H1132" s="19"/>
    </row>
    <row r="1133" spans="3:8" x14ac:dyDescent="0.25">
      <c r="C1133" s="66"/>
      <c r="D1133" s="66"/>
      <c r="E1133" s="66"/>
      <c r="F1133" s="67"/>
      <c r="G1133" s="67"/>
      <c r="H1133" s="19"/>
    </row>
    <row r="1134" spans="3:8" x14ac:dyDescent="0.25">
      <c r="C1134" s="66"/>
      <c r="D1134" s="66"/>
      <c r="E1134" s="66"/>
      <c r="F1134" s="67"/>
      <c r="G1134" s="67"/>
      <c r="H1134" s="19"/>
    </row>
    <row r="1135" spans="3:8" x14ac:dyDescent="0.25">
      <c r="C1135" s="66"/>
      <c r="D1135" s="66"/>
      <c r="E1135" s="66"/>
      <c r="F1135" s="67"/>
      <c r="G1135" s="67"/>
      <c r="H1135" s="19"/>
    </row>
    <row r="1136" spans="3:8" x14ac:dyDescent="0.25">
      <c r="C1136" s="66"/>
      <c r="D1136" s="66"/>
      <c r="E1136" s="66"/>
      <c r="F1136" s="67"/>
      <c r="G1136" s="67"/>
      <c r="H1136" s="19"/>
    </row>
    <row r="1137" spans="3:8" x14ac:dyDescent="0.25">
      <c r="C1137" s="66"/>
      <c r="D1137" s="66"/>
      <c r="E1137" s="66"/>
      <c r="F1137" s="67"/>
      <c r="G1137" s="67"/>
      <c r="H1137" s="19"/>
    </row>
    <row r="1138" spans="3:8" x14ac:dyDescent="0.25">
      <c r="C1138" s="66"/>
      <c r="D1138" s="66"/>
      <c r="E1138" s="66"/>
      <c r="F1138" s="67"/>
      <c r="G1138" s="67"/>
      <c r="H1138" s="19"/>
    </row>
    <row r="1139" spans="3:8" x14ac:dyDescent="0.25">
      <c r="C1139" s="66"/>
      <c r="D1139" s="66"/>
      <c r="E1139" s="66"/>
      <c r="F1139" s="67"/>
      <c r="G1139" s="67"/>
      <c r="H1139" s="19"/>
    </row>
    <row r="1140" spans="3:8" x14ac:dyDescent="0.25">
      <c r="C1140" s="66"/>
      <c r="D1140" s="66"/>
      <c r="E1140" s="66"/>
      <c r="F1140" s="67"/>
      <c r="G1140" s="67"/>
      <c r="H1140" s="19"/>
    </row>
    <row r="1141" spans="3:8" x14ac:dyDescent="0.25">
      <c r="C1141" s="66"/>
      <c r="D1141" s="66"/>
      <c r="E1141" s="66"/>
      <c r="F1141" s="67"/>
      <c r="G1141" s="67"/>
      <c r="H1141" s="19"/>
    </row>
    <row r="1142" spans="3:8" x14ac:dyDescent="0.25">
      <c r="C1142" s="66"/>
      <c r="D1142" s="66"/>
      <c r="E1142" s="66"/>
      <c r="F1142" s="67"/>
      <c r="G1142" s="67"/>
      <c r="H1142" s="19"/>
    </row>
    <row r="1143" spans="3:8" x14ac:dyDescent="0.25">
      <c r="C1143" s="66"/>
      <c r="D1143" s="66"/>
      <c r="E1143" s="66"/>
      <c r="F1143" s="67"/>
      <c r="G1143" s="67"/>
      <c r="H1143" s="19"/>
    </row>
    <row r="1144" spans="3:8" x14ac:dyDescent="0.25">
      <c r="C1144" s="66"/>
      <c r="D1144" s="66"/>
      <c r="E1144" s="66"/>
      <c r="F1144" s="67"/>
      <c r="G1144" s="67"/>
      <c r="H1144" s="19"/>
    </row>
    <row r="1145" spans="3:8" x14ac:dyDescent="0.25">
      <c r="C1145" s="66"/>
      <c r="D1145" s="66"/>
      <c r="E1145" s="66"/>
      <c r="F1145" s="67"/>
      <c r="G1145" s="67"/>
      <c r="H1145" s="19"/>
    </row>
    <row r="1146" spans="3:8" x14ac:dyDescent="0.25">
      <c r="C1146" s="66"/>
      <c r="D1146" s="66"/>
      <c r="E1146" s="66"/>
      <c r="F1146" s="67"/>
      <c r="G1146" s="67"/>
      <c r="H1146" s="19"/>
    </row>
    <row r="1147" spans="3:8" x14ac:dyDescent="0.25">
      <c r="C1147" s="66"/>
      <c r="D1147" s="66"/>
      <c r="E1147" s="66"/>
      <c r="F1147" s="67"/>
      <c r="G1147" s="67"/>
      <c r="H1147" s="19"/>
    </row>
    <row r="1148" spans="3:8" x14ac:dyDescent="0.25">
      <c r="C1148" s="66"/>
      <c r="D1148" s="66"/>
      <c r="E1148" s="66"/>
      <c r="F1148" s="67"/>
      <c r="G1148" s="67"/>
      <c r="H1148" s="19"/>
    </row>
    <row r="1149" spans="3:8" x14ac:dyDescent="0.25">
      <c r="C1149" s="66"/>
      <c r="D1149" s="66"/>
      <c r="E1149" s="66"/>
      <c r="F1149" s="67"/>
      <c r="G1149" s="67"/>
      <c r="H1149" s="19"/>
    </row>
    <row r="1150" spans="3:8" x14ac:dyDescent="0.25">
      <c r="C1150" s="66"/>
      <c r="D1150" s="66"/>
      <c r="E1150" s="66"/>
      <c r="F1150" s="67"/>
      <c r="G1150" s="67"/>
      <c r="H1150" s="19"/>
    </row>
    <row r="1151" spans="3:8" x14ac:dyDescent="0.25">
      <c r="C1151" s="66"/>
      <c r="D1151" s="66"/>
      <c r="E1151" s="66"/>
      <c r="F1151" s="67"/>
      <c r="G1151" s="67"/>
      <c r="H1151" s="19"/>
    </row>
    <row r="1152" spans="3:8" x14ac:dyDescent="0.25">
      <c r="C1152" s="66"/>
      <c r="D1152" s="66"/>
      <c r="E1152" s="66"/>
      <c r="F1152" s="67"/>
      <c r="G1152" s="67"/>
      <c r="H1152" s="19"/>
    </row>
    <row r="1153" spans="3:8" x14ac:dyDescent="0.25">
      <c r="C1153" s="66"/>
      <c r="D1153" s="66"/>
      <c r="E1153" s="66"/>
      <c r="F1153" s="67"/>
      <c r="G1153" s="67"/>
      <c r="H1153" s="19"/>
    </row>
    <row r="1154" spans="3:8" x14ac:dyDescent="0.25">
      <c r="C1154" s="66"/>
      <c r="D1154" s="66"/>
      <c r="E1154" s="66"/>
      <c r="F1154" s="67"/>
      <c r="G1154" s="67"/>
      <c r="H1154" s="19"/>
    </row>
    <row r="1155" spans="3:8" x14ac:dyDescent="0.25">
      <c r="C1155" s="66"/>
      <c r="D1155" s="66"/>
      <c r="E1155" s="66"/>
      <c r="F1155" s="67"/>
      <c r="G1155" s="67"/>
      <c r="H1155" s="19"/>
    </row>
    <row r="1156" spans="3:8" x14ac:dyDescent="0.25">
      <c r="C1156" s="66"/>
      <c r="D1156" s="66"/>
      <c r="E1156" s="66"/>
      <c r="F1156" s="67"/>
      <c r="G1156" s="67"/>
      <c r="H1156" s="19"/>
    </row>
    <row r="1157" spans="3:8" x14ac:dyDescent="0.25">
      <c r="C1157" s="66"/>
      <c r="D1157" s="66"/>
      <c r="E1157" s="66"/>
      <c r="F1157" s="67"/>
      <c r="G1157" s="67"/>
      <c r="H1157" s="19"/>
    </row>
    <row r="1158" spans="3:8" x14ac:dyDescent="0.25">
      <c r="C1158" s="66"/>
      <c r="D1158" s="66"/>
      <c r="E1158" s="66"/>
      <c r="F1158" s="67"/>
      <c r="G1158" s="67"/>
      <c r="H1158" s="19"/>
    </row>
    <row r="1159" spans="3:8" x14ac:dyDescent="0.25">
      <c r="C1159" s="66"/>
      <c r="D1159" s="66"/>
      <c r="E1159" s="66"/>
      <c r="F1159" s="67"/>
      <c r="G1159" s="67"/>
      <c r="H1159" s="19"/>
    </row>
    <row r="1160" spans="3:8" x14ac:dyDescent="0.25">
      <c r="C1160" s="66"/>
      <c r="D1160" s="66"/>
      <c r="E1160" s="66"/>
      <c r="F1160" s="67"/>
      <c r="G1160" s="67"/>
      <c r="H1160" s="19"/>
    </row>
    <row r="1161" spans="3:8" x14ac:dyDescent="0.25">
      <c r="C1161" s="66"/>
      <c r="D1161" s="66"/>
      <c r="E1161" s="66"/>
      <c r="F1161" s="67"/>
      <c r="G1161" s="67"/>
      <c r="H1161" s="19"/>
    </row>
    <row r="1162" spans="3:8" x14ac:dyDescent="0.25">
      <c r="C1162" s="66"/>
      <c r="D1162" s="66"/>
      <c r="E1162" s="66"/>
      <c r="F1162" s="67"/>
      <c r="G1162" s="67"/>
      <c r="H1162" s="19"/>
    </row>
    <row r="1163" spans="3:8" x14ac:dyDescent="0.25">
      <c r="C1163" s="66"/>
      <c r="D1163" s="66"/>
      <c r="E1163" s="66"/>
      <c r="F1163" s="67"/>
      <c r="G1163" s="67"/>
      <c r="H1163" s="19"/>
    </row>
    <row r="1164" spans="3:8" x14ac:dyDescent="0.25">
      <c r="C1164" s="66"/>
      <c r="D1164" s="66"/>
      <c r="E1164" s="66"/>
      <c r="F1164" s="67"/>
      <c r="G1164" s="67"/>
      <c r="H1164" s="19"/>
    </row>
    <row r="1165" spans="3:8" x14ac:dyDescent="0.25">
      <c r="C1165" s="66"/>
      <c r="D1165" s="66"/>
      <c r="E1165" s="66"/>
      <c r="F1165" s="67"/>
      <c r="G1165" s="67"/>
      <c r="H1165" s="19"/>
    </row>
    <row r="1166" spans="3:8" x14ac:dyDescent="0.25">
      <c r="C1166" s="66"/>
      <c r="D1166" s="66"/>
      <c r="E1166" s="66"/>
      <c r="F1166" s="67"/>
      <c r="G1166" s="67"/>
      <c r="H1166" s="19"/>
    </row>
    <row r="1167" spans="3:8" x14ac:dyDescent="0.25">
      <c r="C1167" s="66"/>
      <c r="D1167" s="66"/>
      <c r="E1167" s="66"/>
      <c r="F1167" s="67"/>
      <c r="G1167" s="67"/>
      <c r="H1167" s="19"/>
    </row>
    <row r="1168" spans="3:8" x14ac:dyDescent="0.25">
      <c r="C1168" s="66"/>
      <c r="D1168" s="66"/>
      <c r="E1168" s="66"/>
      <c r="F1168" s="67"/>
      <c r="G1168" s="67"/>
      <c r="H1168" s="19"/>
    </row>
    <row r="1169" spans="3:8" x14ac:dyDescent="0.25">
      <c r="C1169" s="66"/>
      <c r="D1169" s="66"/>
      <c r="E1169" s="66"/>
      <c r="F1169" s="67"/>
      <c r="G1169" s="67"/>
      <c r="H1169" s="19"/>
    </row>
    <row r="1170" spans="3:8" x14ac:dyDescent="0.25">
      <c r="C1170" s="66"/>
      <c r="D1170" s="66"/>
      <c r="E1170" s="66"/>
      <c r="F1170" s="67"/>
      <c r="G1170" s="67"/>
      <c r="H1170" s="19"/>
    </row>
    <row r="1171" spans="3:8" x14ac:dyDescent="0.25">
      <c r="C1171" s="66"/>
      <c r="D1171" s="66"/>
      <c r="E1171" s="66"/>
      <c r="F1171" s="67"/>
      <c r="G1171" s="67"/>
      <c r="H1171" s="19"/>
    </row>
    <row r="1172" spans="3:8" x14ac:dyDescent="0.25">
      <c r="C1172" s="66"/>
      <c r="D1172" s="66"/>
      <c r="E1172" s="66"/>
      <c r="F1172" s="67"/>
      <c r="G1172" s="67"/>
      <c r="H1172" s="30"/>
    </row>
    <row r="1173" spans="3:8" x14ac:dyDescent="0.25">
      <c r="C1173" s="66"/>
      <c r="D1173" s="66"/>
      <c r="E1173" s="66"/>
      <c r="F1173" s="67"/>
      <c r="G1173" s="67"/>
      <c r="H1173" s="19"/>
    </row>
    <row r="1174" spans="3:8" x14ac:dyDescent="0.25">
      <c r="C1174" s="66"/>
      <c r="D1174" s="66"/>
      <c r="E1174" s="66"/>
      <c r="F1174" s="67"/>
      <c r="G1174" s="67"/>
      <c r="H1174" s="19"/>
    </row>
    <row r="1175" spans="3:8" x14ac:dyDescent="0.25">
      <c r="C1175" s="66"/>
      <c r="D1175" s="66"/>
      <c r="E1175" s="66"/>
      <c r="F1175" s="67"/>
      <c r="G1175" s="67"/>
      <c r="H1175" s="19"/>
    </row>
    <row r="1176" spans="3:8" x14ac:dyDescent="0.25">
      <c r="C1176" s="66"/>
      <c r="D1176" s="66"/>
      <c r="E1176" s="66"/>
      <c r="F1176" s="67"/>
      <c r="G1176" s="67"/>
      <c r="H1176" s="19"/>
    </row>
    <row r="1177" spans="3:8" x14ac:dyDescent="0.25">
      <c r="C1177" s="66"/>
      <c r="D1177" s="66"/>
      <c r="E1177" s="66"/>
      <c r="F1177" s="67"/>
      <c r="G1177" s="67"/>
      <c r="H1177" s="19"/>
    </row>
    <row r="1178" spans="3:8" x14ac:dyDescent="0.25">
      <c r="C1178" s="66"/>
      <c r="D1178" s="66"/>
      <c r="E1178" s="66"/>
      <c r="F1178" s="67"/>
      <c r="G1178" s="67"/>
      <c r="H1178" s="19"/>
    </row>
    <row r="1179" spans="3:8" x14ac:dyDescent="0.25">
      <c r="C1179" s="66"/>
      <c r="D1179" s="66"/>
      <c r="E1179" s="66"/>
      <c r="F1179" s="67"/>
      <c r="G1179" s="67"/>
      <c r="H1179" s="19"/>
    </row>
    <row r="1180" spans="3:8" x14ac:dyDescent="0.25">
      <c r="C1180" s="66"/>
      <c r="D1180" s="66"/>
      <c r="E1180" s="66"/>
      <c r="F1180" s="67"/>
      <c r="G1180" s="67"/>
      <c r="H1180" s="19"/>
    </row>
    <row r="1181" spans="3:8" x14ac:dyDescent="0.25">
      <c r="C1181" s="66"/>
      <c r="D1181" s="66"/>
      <c r="E1181" s="66"/>
      <c r="F1181" s="67"/>
      <c r="G1181" s="67"/>
      <c r="H1181" s="19"/>
    </row>
    <row r="1182" spans="3:8" x14ac:dyDescent="0.25">
      <c r="C1182" s="66"/>
      <c r="D1182" s="66"/>
      <c r="E1182" s="66"/>
      <c r="F1182" s="67"/>
      <c r="G1182" s="67"/>
      <c r="H1182" s="19"/>
    </row>
    <row r="1183" spans="3:8" x14ac:dyDescent="0.25">
      <c r="C1183" s="66"/>
      <c r="D1183" s="66"/>
      <c r="E1183" s="66"/>
      <c r="F1183" s="67"/>
      <c r="G1183" s="67"/>
      <c r="H1183" s="19"/>
    </row>
    <row r="1184" spans="3:8" x14ac:dyDescent="0.25">
      <c r="C1184" s="66"/>
      <c r="D1184" s="66"/>
      <c r="E1184" s="66"/>
      <c r="F1184" s="67"/>
      <c r="G1184" s="67"/>
      <c r="H1184" s="19"/>
    </row>
    <row r="1185" spans="3:8" x14ac:dyDescent="0.25">
      <c r="C1185" s="5"/>
      <c r="D1185" s="5"/>
      <c r="H1185" s="5"/>
    </row>
    <row r="1186" spans="3:8" x14ac:dyDescent="0.25">
      <c r="C1186" s="5"/>
      <c r="D1186" s="5"/>
      <c r="H1186" s="5"/>
    </row>
    <row r="1187" spans="3:8" x14ac:dyDescent="0.25">
      <c r="C1187" s="5"/>
      <c r="D1187" s="5"/>
      <c r="H1187" s="5"/>
    </row>
    <row r="1188" spans="3:8" x14ac:dyDescent="0.25">
      <c r="C1188" s="5"/>
      <c r="D1188" s="5"/>
      <c r="H1188" s="5"/>
    </row>
    <row r="1189" spans="3:8" x14ac:dyDescent="0.25">
      <c r="C1189" s="5"/>
      <c r="D1189" s="5"/>
      <c r="H1189" s="5"/>
    </row>
    <row r="1190" spans="3:8" x14ac:dyDescent="0.25">
      <c r="C1190" s="5"/>
      <c r="D1190" s="5"/>
      <c r="H1190" s="5"/>
    </row>
    <row r="1191" spans="3:8" x14ac:dyDescent="0.25">
      <c r="C1191" s="5"/>
      <c r="D1191" s="5"/>
      <c r="H1191" s="5"/>
    </row>
    <row r="1192" spans="3:8" x14ac:dyDescent="0.25">
      <c r="C1192" s="5"/>
      <c r="D1192" s="5"/>
      <c r="H1192" s="5"/>
    </row>
    <row r="1193" spans="3:8" x14ac:dyDescent="0.25">
      <c r="C1193" s="5"/>
      <c r="D1193" s="5"/>
      <c r="H1193" s="5"/>
    </row>
    <row r="1194" spans="3:8" x14ac:dyDescent="0.25">
      <c r="C1194" s="5"/>
      <c r="D1194" s="5"/>
      <c r="H1194" s="5"/>
    </row>
    <row r="1195" spans="3:8" x14ac:dyDescent="0.25">
      <c r="C1195" s="5"/>
      <c r="D1195" s="5"/>
      <c r="H1195" s="5"/>
    </row>
    <row r="1196" spans="3:8" x14ac:dyDescent="0.25">
      <c r="C1196" s="5"/>
      <c r="D1196" s="5"/>
      <c r="H1196" s="5"/>
    </row>
    <row r="1197" spans="3:8" x14ac:dyDescent="0.25">
      <c r="C1197" s="5"/>
      <c r="D1197" s="5"/>
      <c r="H1197" s="5"/>
    </row>
    <row r="1198" spans="3:8" x14ac:dyDescent="0.25">
      <c r="C1198" s="5"/>
      <c r="D1198" s="5"/>
      <c r="H1198" s="5"/>
    </row>
    <row r="1199" spans="3:8" x14ac:dyDescent="0.25">
      <c r="C1199" s="5"/>
      <c r="D1199" s="5"/>
      <c r="H1199" s="5"/>
    </row>
    <row r="1200" spans="3:8" x14ac:dyDescent="0.25">
      <c r="C1200" s="5"/>
      <c r="D1200" s="5"/>
      <c r="H1200" s="5"/>
    </row>
    <row r="1201" spans="3:11" x14ac:dyDescent="0.25">
      <c r="C1201" s="5"/>
      <c r="D1201" s="5"/>
      <c r="H1201" s="5"/>
    </row>
    <row r="1202" spans="3:11" x14ac:dyDescent="0.25">
      <c r="C1202" s="5"/>
      <c r="D1202" s="5"/>
      <c r="H1202" s="5"/>
    </row>
    <row r="1203" spans="3:11" x14ac:dyDescent="0.25">
      <c r="C1203" s="5"/>
      <c r="D1203" s="5"/>
      <c r="H1203" s="5"/>
    </row>
    <row r="1204" spans="3:11" x14ac:dyDescent="0.25">
      <c r="C1204" s="5"/>
      <c r="D1204" s="5"/>
      <c r="H1204" s="5"/>
    </row>
    <row r="1205" spans="3:11" x14ac:dyDescent="0.25">
      <c r="C1205" s="68"/>
      <c r="D1205" s="68"/>
      <c r="E1205" s="68"/>
      <c r="F1205" s="69"/>
      <c r="G1205" s="69"/>
      <c r="H1205" s="68"/>
      <c r="I1205" s="44"/>
      <c r="J1205" s="44"/>
      <c r="K1205" s="44"/>
    </row>
    <row r="1206" spans="3:11" x14ac:dyDescent="0.25">
      <c r="C1206" s="5"/>
      <c r="D1206" s="5"/>
      <c r="H1206" s="5"/>
    </row>
    <row r="1207" spans="3:11" x14ac:dyDescent="0.25">
      <c r="C1207" s="5"/>
      <c r="D1207" s="5"/>
      <c r="H1207" s="5"/>
    </row>
    <row r="1208" spans="3:11" x14ac:dyDescent="0.25">
      <c r="C1208" s="5"/>
      <c r="D1208" s="5"/>
      <c r="H1208" s="5"/>
    </row>
    <row r="1209" spans="3:11" x14ac:dyDescent="0.25">
      <c r="C1209" s="5"/>
      <c r="D1209" s="5"/>
      <c r="H1209" s="5"/>
    </row>
    <row r="1210" spans="3:11" x14ac:dyDescent="0.25">
      <c r="C1210" s="5"/>
      <c r="D1210" s="5"/>
      <c r="H1210" s="5"/>
    </row>
    <row r="1211" spans="3:11" x14ac:dyDescent="0.25">
      <c r="C1211" s="5"/>
      <c r="D1211" s="5"/>
      <c r="H1211" s="5"/>
    </row>
    <row r="1212" spans="3:11" x14ac:dyDescent="0.25">
      <c r="C1212" s="5"/>
      <c r="D1212" s="5"/>
      <c r="H1212" s="5"/>
    </row>
    <row r="1213" spans="3:11" x14ac:dyDescent="0.25">
      <c r="C1213" s="5"/>
      <c r="D1213" s="5"/>
      <c r="H1213" s="5"/>
    </row>
    <row r="1214" spans="3:11" x14ac:dyDescent="0.25">
      <c r="C1214" s="5"/>
      <c r="D1214" s="5"/>
      <c r="H1214" s="5"/>
    </row>
    <row r="1215" spans="3:11" x14ac:dyDescent="0.25">
      <c r="C1215" s="5"/>
      <c r="D1215" s="5"/>
      <c r="H1215" s="5"/>
    </row>
    <row r="1216" spans="3:11" x14ac:dyDescent="0.25">
      <c r="C1216" s="5"/>
      <c r="D1216" s="5"/>
      <c r="H1216" s="5"/>
    </row>
    <row r="1217" spans="3:8" x14ac:dyDescent="0.25">
      <c r="C1217" s="5"/>
      <c r="D1217" s="5"/>
      <c r="H1217" s="5"/>
    </row>
    <row r="1218" spans="3:8" x14ac:dyDescent="0.25">
      <c r="C1218" s="5"/>
      <c r="D1218" s="5"/>
      <c r="H1218" s="5"/>
    </row>
    <row r="1219" spans="3:8" x14ac:dyDescent="0.25">
      <c r="C1219" s="5"/>
      <c r="D1219" s="5"/>
      <c r="H1219" s="5"/>
    </row>
    <row r="1220" spans="3:8" x14ac:dyDescent="0.25">
      <c r="C1220" s="5"/>
      <c r="D1220" s="5"/>
      <c r="H1220" s="5"/>
    </row>
    <row r="1221" spans="3:8" x14ac:dyDescent="0.25">
      <c r="C1221" s="5"/>
      <c r="D1221" s="5"/>
      <c r="H1221" s="5"/>
    </row>
    <row r="1222" spans="3:8" x14ac:dyDescent="0.25">
      <c r="C1222" s="5"/>
      <c r="D1222" s="5"/>
      <c r="H1222" s="5"/>
    </row>
    <row r="1223" spans="3:8" x14ac:dyDescent="0.25">
      <c r="C1223" s="5"/>
      <c r="D1223" s="5"/>
      <c r="H1223" s="5"/>
    </row>
    <row r="1224" spans="3:8" x14ac:dyDescent="0.25">
      <c r="C1224" s="5"/>
      <c r="D1224" s="5"/>
      <c r="H1224" s="5"/>
    </row>
    <row r="1225" spans="3:8" x14ac:dyDescent="0.25">
      <c r="C1225" s="5"/>
      <c r="D1225" s="5"/>
      <c r="H1225" s="5"/>
    </row>
    <row r="1226" spans="3:8" x14ac:dyDescent="0.25">
      <c r="C1226" s="5"/>
      <c r="D1226" s="5"/>
      <c r="H1226" s="5"/>
    </row>
    <row r="1227" spans="3:8" x14ac:dyDescent="0.25">
      <c r="C1227" s="5"/>
      <c r="D1227" s="5"/>
      <c r="H1227" s="5"/>
    </row>
    <row r="1228" spans="3:8" x14ac:dyDescent="0.25">
      <c r="C1228" s="5"/>
      <c r="D1228" s="5"/>
      <c r="H1228" s="5"/>
    </row>
    <row r="1229" spans="3:8" x14ac:dyDescent="0.25">
      <c r="C1229" s="5"/>
      <c r="D1229" s="5"/>
      <c r="H1229" s="5"/>
    </row>
    <row r="1230" spans="3:8" x14ac:dyDescent="0.25">
      <c r="C1230" s="5"/>
      <c r="D1230" s="5"/>
      <c r="H1230" s="5"/>
    </row>
    <row r="1231" spans="3:8" x14ac:dyDescent="0.25">
      <c r="C1231" s="5"/>
      <c r="D1231" s="5"/>
      <c r="H1231" s="5"/>
    </row>
    <row r="1232" spans="3:8" x14ac:dyDescent="0.25">
      <c r="C1232" s="5"/>
      <c r="D1232" s="5"/>
      <c r="H1232" s="5"/>
    </row>
    <row r="1233" spans="3:8" x14ac:dyDescent="0.25">
      <c r="C1233" s="5"/>
      <c r="D1233" s="5"/>
      <c r="H1233" s="5"/>
    </row>
    <row r="1234" spans="3:8" x14ac:dyDescent="0.25">
      <c r="C1234" s="5"/>
      <c r="D1234" s="5"/>
      <c r="H1234" s="5"/>
    </row>
    <row r="1235" spans="3:8" x14ac:dyDescent="0.25">
      <c r="C1235" s="5"/>
      <c r="D1235" s="5"/>
      <c r="H1235" s="5"/>
    </row>
    <row r="1236" spans="3:8" x14ac:dyDescent="0.25">
      <c r="C1236" s="5"/>
      <c r="D1236" s="5"/>
      <c r="H1236" s="5"/>
    </row>
    <row r="1237" spans="3:8" x14ac:dyDescent="0.25">
      <c r="C1237" s="5"/>
      <c r="D1237" s="5"/>
      <c r="H1237" s="5"/>
    </row>
    <row r="1238" spans="3:8" x14ac:dyDescent="0.25">
      <c r="C1238" s="5"/>
      <c r="D1238" s="5"/>
      <c r="H1238" s="5"/>
    </row>
    <row r="1239" spans="3:8" x14ac:dyDescent="0.25">
      <c r="C1239" s="5"/>
      <c r="D1239" s="5"/>
      <c r="H1239" s="5"/>
    </row>
    <row r="1240" spans="3:8" x14ac:dyDescent="0.25">
      <c r="C1240" s="5"/>
      <c r="D1240" s="5"/>
      <c r="H1240" s="5"/>
    </row>
    <row r="1241" spans="3:8" x14ac:dyDescent="0.25">
      <c r="C1241" s="5"/>
      <c r="D1241" s="5"/>
      <c r="H1241" s="5"/>
    </row>
    <row r="1242" spans="3:8" x14ac:dyDescent="0.25">
      <c r="C1242" s="5"/>
      <c r="D1242" s="5"/>
      <c r="H1242" s="5"/>
    </row>
    <row r="1243" spans="3:8" x14ac:dyDescent="0.25">
      <c r="C1243" s="5"/>
      <c r="D1243" s="5"/>
      <c r="H1243" s="5"/>
    </row>
    <row r="1244" spans="3:8" x14ac:dyDescent="0.25">
      <c r="C1244" s="5"/>
      <c r="D1244" s="5"/>
      <c r="H1244" s="5"/>
    </row>
    <row r="1245" spans="3:8" x14ac:dyDescent="0.25">
      <c r="C1245" s="5"/>
      <c r="D1245" s="5"/>
      <c r="H1245" s="5"/>
    </row>
    <row r="1246" spans="3:8" x14ac:dyDescent="0.25">
      <c r="C1246" s="5"/>
      <c r="D1246" s="5"/>
      <c r="H1246" s="5"/>
    </row>
    <row r="1247" spans="3:8" x14ac:dyDescent="0.25">
      <c r="C1247" s="5"/>
      <c r="D1247" s="5"/>
      <c r="H1247" s="5"/>
    </row>
    <row r="1248" spans="3:8" x14ac:dyDescent="0.25">
      <c r="C1248" s="5"/>
      <c r="D1248" s="5"/>
      <c r="H1248" s="5"/>
    </row>
    <row r="1249" spans="3:8" x14ac:dyDescent="0.25">
      <c r="C1249" s="5"/>
      <c r="D1249" s="5"/>
      <c r="H1249" s="5"/>
    </row>
    <row r="1250" spans="3:8" x14ac:dyDescent="0.25">
      <c r="C1250" s="5"/>
      <c r="D1250" s="5"/>
      <c r="H1250" s="5"/>
    </row>
    <row r="1251" spans="3:8" x14ac:dyDescent="0.25">
      <c r="C1251" s="5"/>
      <c r="D1251" s="5"/>
      <c r="H1251" s="5"/>
    </row>
    <row r="1252" spans="3:8" x14ac:dyDescent="0.25">
      <c r="C1252" s="5"/>
      <c r="D1252" s="5"/>
      <c r="H1252" s="5"/>
    </row>
    <row r="1253" spans="3:8" x14ac:dyDescent="0.25">
      <c r="C1253" s="5"/>
      <c r="D1253" s="5"/>
      <c r="H1253" s="5"/>
    </row>
    <row r="1254" spans="3:8" x14ac:dyDescent="0.25">
      <c r="C1254" s="5"/>
      <c r="D1254" s="5"/>
      <c r="H1254" s="5"/>
    </row>
    <row r="1255" spans="3:8" x14ac:dyDescent="0.25">
      <c r="C1255" s="5"/>
      <c r="D1255" s="5"/>
      <c r="H1255" s="5"/>
    </row>
    <row r="1256" spans="3:8" x14ac:dyDescent="0.25">
      <c r="C1256" s="5"/>
      <c r="D1256" s="5"/>
      <c r="H1256" s="5"/>
    </row>
    <row r="1257" spans="3:8" x14ac:dyDescent="0.25">
      <c r="C1257" s="5"/>
      <c r="D1257" s="5"/>
      <c r="H1257" s="5"/>
    </row>
    <row r="1258" spans="3:8" x14ac:dyDescent="0.25">
      <c r="C1258" s="5"/>
      <c r="D1258" s="5"/>
      <c r="H1258" s="5"/>
    </row>
    <row r="1259" spans="3:8" x14ac:dyDescent="0.25">
      <c r="C1259" s="5"/>
      <c r="D1259" s="5"/>
      <c r="H1259" s="5"/>
    </row>
    <row r="1260" spans="3:8" x14ac:dyDescent="0.25">
      <c r="C1260" s="5"/>
      <c r="D1260" s="5"/>
      <c r="H1260" s="5"/>
    </row>
    <row r="1261" spans="3:8" x14ac:dyDescent="0.25">
      <c r="C1261" s="5"/>
      <c r="D1261" s="5"/>
      <c r="H1261" s="5"/>
    </row>
    <row r="1262" spans="3:8" x14ac:dyDescent="0.25">
      <c r="C1262" s="5"/>
      <c r="D1262" s="5"/>
      <c r="H1262" s="5"/>
    </row>
    <row r="1263" spans="3:8" x14ac:dyDescent="0.25">
      <c r="C1263" s="5"/>
      <c r="D1263" s="5"/>
      <c r="H1263" s="5"/>
    </row>
    <row r="1264" spans="3:8" x14ac:dyDescent="0.25">
      <c r="C1264" s="5"/>
      <c r="D1264" s="5"/>
      <c r="H1264" s="5"/>
    </row>
    <row r="1265" spans="3:8" x14ac:dyDescent="0.25">
      <c r="C1265" s="5"/>
      <c r="D1265" s="5"/>
      <c r="H1265" s="5"/>
    </row>
    <row r="1266" spans="3:8" x14ac:dyDescent="0.25">
      <c r="C1266" s="5"/>
      <c r="D1266" s="5"/>
      <c r="H1266" s="5"/>
    </row>
    <row r="1267" spans="3:8" x14ac:dyDescent="0.25">
      <c r="C1267" s="5"/>
      <c r="D1267" s="5"/>
      <c r="H1267" s="5"/>
    </row>
    <row r="1268" spans="3:8" x14ac:dyDescent="0.25">
      <c r="C1268" s="5"/>
      <c r="D1268" s="5"/>
      <c r="H1268" s="5"/>
    </row>
    <row r="1269" spans="3:8" x14ac:dyDescent="0.25">
      <c r="C1269" s="5"/>
      <c r="D1269" s="5"/>
      <c r="H1269" s="5"/>
    </row>
    <row r="1270" spans="3:8" x14ac:dyDescent="0.25">
      <c r="C1270" s="5"/>
      <c r="D1270" s="5"/>
      <c r="H1270" s="5"/>
    </row>
    <row r="1271" spans="3:8" x14ac:dyDescent="0.25">
      <c r="C1271" s="5"/>
      <c r="D1271" s="5"/>
      <c r="H1271" s="5"/>
    </row>
    <row r="1272" spans="3:8" x14ac:dyDescent="0.25">
      <c r="C1272" s="5"/>
      <c r="D1272" s="5"/>
      <c r="H1272" s="5"/>
    </row>
    <row r="1273" spans="3:8" x14ac:dyDescent="0.25">
      <c r="C1273" s="5"/>
      <c r="D1273" s="5"/>
      <c r="H1273" s="5"/>
    </row>
    <row r="1274" spans="3:8" x14ac:dyDescent="0.25">
      <c r="C1274" s="5"/>
      <c r="D1274" s="5"/>
      <c r="H1274" s="5"/>
    </row>
    <row r="1275" spans="3:8" x14ac:dyDescent="0.25">
      <c r="C1275" s="5"/>
      <c r="D1275" s="5"/>
      <c r="H1275" s="5"/>
    </row>
    <row r="1276" spans="3:8" x14ac:dyDescent="0.25">
      <c r="C1276" s="5"/>
      <c r="D1276" s="5"/>
      <c r="H1276" s="5"/>
    </row>
    <row r="1277" spans="3:8" x14ac:dyDescent="0.25">
      <c r="C1277" s="5"/>
      <c r="D1277" s="5"/>
      <c r="H1277" s="5"/>
    </row>
    <row r="1278" spans="3:8" x14ac:dyDescent="0.25">
      <c r="C1278" s="5"/>
      <c r="D1278" s="5"/>
      <c r="H1278" s="5"/>
    </row>
    <row r="1279" spans="3:8" x14ac:dyDescent="0.25">
      <c r="C1279" s="5"/>
      <c r="D1279" s="5"/>
      <c r="H1279" s="5"/>
    </row>
    <row r="1280" spans="3:8" x14ac:dyDescent="0.25">
      <c r="C1280" s="5"/>
      <c r="D1280" s="5"/>
      <c r="H1280" s="5"/>
    </row>
    <row r="1281" spans="3:8" x14ac:dyDescent="0.25">
      <c r="C1281" s="5"/>
      <c r="D1281" s="5"/>
      <c r="H1281" s="5"/>
    </row>
    <row r="1282" spans="3:8" x14ac:dyDescent="0.25">
      <c r="C1282" s="5"/>
      <c r="D1282" s="5"/>
      <c r="H1282" s="5"/>
    </row>
    <row r="1283" spans="3:8" x14ac:dyDescent="0.25">
      <c r="C1283" s="5"/>
      <c r="D1283" s="5"/>
      <c r="H1283" s="5"/>
    </row>
    <row r="1284" spans="3:8" x14ac:dyDescent="0.25">
      <c r="C1284" s="5"/>
      <c r="D1284" s="5"/>
      <c r="H1284" s="5"/>
    </row>
    <row r="1285" spans="3:8" x14ac:dyDescent="0.25">
      <c r="C1285" s="5"/>
      <c r="D1285" s="5"/>
      <c r="H1285" s="5"/>
    </row>
    <row r="1286" spans="3:8" x14ac:dyDescent="0.25">
      <c r="C1286" s="5"/>
      <c r="D1286" s="5"/>
      <c r="H1286" s="5"/>
    </row>
    <row r="1287" spans="3:8" x14ac:dyDescent="0.25">
      <c r="C1287" s="5"/>
      <c r="D1287" s="5"/>
      <c r="H1287" s="5"/>
    </row>
    <row r="1288" spans="3:8" x14ac:dyDescent="0.25">
      <c r="C1288" s="5"/>
      <c r="D1288" s="5"/>
      <c r="H1288" s="5"/>
    </row>
    <row r="1289" spans="3:8" x14ac:dyDescent="0.25">
      <c r="C1289" s="5"/>
      <c r="D1289" s="5"/>
      <c r="H1289" s="5"/>
    </row>
    <row r="1290" spans="3:8" x14ac:dyDescent="0.25">
      <c r="C1290" s="5"/>
      <c r="D1290" s="5"/>
      <c r="H1290" s="5"/>
    </row>
    <row r="1291" spans="3:8" x14ac:dyDescent="0.25">
      <c r="C1291" s="5"/>
      <c r="D1291" s="5"/>
      <c r="H1291" s="5"/>
    </row>
    <row r="1292" spans="3:8" x14ac:dyDescent="0.25">
      <c r="C1292" s="5"/>
      <c r="D1292" s="5"/>
      <c r="H1292" s="5"/>
    </row>
    <row r="1293" spans="3:8" x14ac:dyDescent="0.25">
      <c r="C1293" s="5"/>
      <c r="D1293" s="5"/>
      <c r="H1293" s="5"/>
    </row>
    <row r="1294" spans="3:8" x14ac:dyDescent="0.25">
      <c r="C1294" s="5"/>
      <c r="D1294" s="5"/>
      <c r="H1294" s="5"/>
    </row>
    <row r="1295" spans="3:8" x14ac:dyDescent="0.25">
      <c r="C1295" s="5"/>
      <c r="D1295" s="5"/>
      <c r="H1295" s="5"/>
    </row>
    <row r="1296" spans="3:8" x14ac:dyDescent="0.25">
      <c r="C1296" s="5"/>
      <c r="D1296" s="5"/>
      <c r="H1296" s="5"/>
    </row>
    <row r="1297" spans="3:11" x14ac:dyDescent="0.25">
      <c r="C1297" s="5"/>
      <c r="D1297" s="5"/>
      <c r="H1297" s="5"/>
    </row>
    <row r="1298" spans="3:11" x14ac:dyDescent="0.25">
      <c r="C1298" s="5"/>
      <c r="D1298" s="5"/>
      <c r="H1298" s="5"/>
    </row>
    <row r="1299" spans="3:11" x14ac:dyDescent="0.25">
      <c r="C1299" s="5"/>
      <c r="D1299" s="5"/>
      <c r="H1299" s="5"/>
    </row>
    <row r="1300" spans="3:11" x14ac:dyDescent="0.25">
      <c r="C1300" s="5"/>
      <c r="D1300" s="5"/>
      <c r="H1300" s="5"/>
    </row>
    <row r="1301" spans="3:11" x14ac:dyDescent="0.25">
      <c r="C1301" s="5"/>
      <c r="D1301" s="5"/>
      <c r="H1301" s="5"/>
    </row>
    <row r="1302" spans="3:11" x14ac:dyDescent="0.25">
      <c r="C1302" s="5"/>
      <c r="D1302" s="5"/>
      <c r="H1302" s="5"/>
    </row>
    <row r="1303" spans="3:11" x14ac:dyDescent="0.25">
      <c r="C1303" s="5"/>
      <c r="D1303" s="5"/>
      <c r="H1303" s="5"/>
    </row>
    <row r="1304" spans="3:11" x14ac:dyDescent="0.25">
      <c r="C1304" s="5"/>
      <c r="D1304" s="5"/>
      <c r="H1304" s="5"/>
    </row>
    <row r="1305" spans="3:11" x14ac:dyDescent="0.25">
      <c r="C1305" s="5"/>
      <c r="D1305" s="5"/>
      <c r="H1305" s="5"/>
    </row>
    <row r="1306" spans="3:11" x14ac:dyDescent="0.25">
      <c r="C1306" s="5"/>
      <c r="D1306" s="5"/>
      <c r="H1306" s="5"/>
    </row>
    <row r="1307" spans="3:11" x14ac:dyDescent="0.25">
      <c r="C1307" s="5"/>
      <c r="D1307" s="5"/>
      <c r="H1307" s="5"/>
    </row>
    <row r="1308" spans="3:11" x14ac:dyDescent="0.25">
      <c r="C1308" s="5"/>
      <c r="D1308" s="5"/>
      <c r="H1308" s="5"/>
    </row>
    <row r="1309" spans="3:11" x14ac:dyDescent="0.25">
      <c r="C1309" s="5"/>
      <c r="D1309" s="5"/>
      <c r="H1309" s="5"/>
    </row>
    <row r="1310" spans="3:11" x14ac:dyDescent="0.25">
      <c r="C1310" s="5"/>
      <c r="D1310" s="5"/>
      <c r="H1310" s="5"/>
    </row>
    <row r="1311" spans="3:11" x14ac:dyDescent="0.25">
      <c r="C1311" s="5"/>
      <c r="D1311" s="5"/>
      <c r="H1311" s="5"/>
    </row>
    <row r="1312" spans="3:11" x14ac:dyDescent="0.25">
      <c r="C1312" s="68"/>
      <c r="D1312" s="68"/>
      <c r="E1312" s="68"/>
      <c r="F1312" s="69"/>
      <c r="G1312" s="69"/>
      <c r="H1312" s="68"/>
      <c r="I1312" s="44"/>
      <c r="J1312" s="44"/>
      <c r="K1312" s="44"/>
    </row>
    <row r="1313" spans="3:8" x14ac:dyDescent="0.25">
      <c r="C1313" s="5"/>
      <c r="D1313" s="5"/>
      <c r="H1313" s="5"/>
    </row>
    <row r="1314" spans="3:8" x14ac:dyDescent="0.25">
      <c r="C1314" s="5"/>
      <c r="D1314" s="5"/>
      <c r="H1314" s="5"/>
    </row>
    <row r="1315" spans="3:8" x14ac:dyDescent="0.25">
      <c r="C1315" s="5"/>
      <c r="D1315" s="5"/>
      <c r="H1315" s="5"/>
    </row>
    <row r="1316" spans="3:8" x14ac:dyDescent="0.25">
      <c r="C1316" s="5"/>
      <c r="D1316" s="5"/>
      <c r="H1316" s="5"/>
    </row>
    <row r="1317" spans="3:8" x14ac:dyDescent="0.25">
      <c r="C1317" s="5"/>
      <c r="D1317" s="5"/>
      <c r="H1317" s="5"/>
    </row>
    <row r="1318" spans="3:8" x14ac:dyDescent="0.25">
      <c r="C1318" s="5"/>
      <c r="D1318" s="5"/>
      <c r="H1318" s="5"/>
    </row>
    <row r="1319" spans="3:8" x14ac:dyDescent="0.25">
      <c r="C1319" s="5"/>
      <c r="D1319" s="5"/>
      <c r="H1319" s="5"/>
    </row>
    <row r="1320" spans="3:8" x14ac:dyDescent="0.25">
      <c r="C1320" s="5"/>
      <c r="D1320" s="5"/>
      <c r="H1320" s="5"/>
    </row>
    <row r="1321" spans="3:8" x14ac:dyDescent="0.25">
      <c r="C1321" s="5"/>
      <c r="D1321" s="5"/>
      <c r="H1321" s="5"/>
    </row>
    <row r="1322" spans="3:8" x14ac:dyDescent="0.25">
      <c r="C1322" s="5"/>
      <c r="D1322" s="5"/>
      <c r="H1322" s="5"/>
    </row>
    <row r="1323" spans="3:8" x14ac:dyDescent="0.25">
      <c r="C1323" s="5"/>
      <c r="D1323" s="5"/>
      <c r="H1323" s="5"/>
    </row>
    <row r="1324" spans="3:8" x14ac:dyDescent="0.25">
      <c r="C1324" s="5"/>
      <c r="D1324" s="5"/>
      <c r="H1324" s="5"/>
    </row>
    <row r="1325" spans="3:8" x14ac:dyDescent="0.25">
      <c r="C1325" s="5"/>
      <c r="D1325" s="5"/>
      <c r="H1325" s="5"/>
    </row>
    <row r="1326" spans="3:8" x14ac:dyDescent="0.25">
      <c r="C1326" s="5"/>
      <c r="D1326" s="5"/>
      <c r="H1326" s="5"/>
    </row>
    <row r="1327" spans="3:8" x14ac:dyDescent="0.25">
      <c r="C1327" s="5"/>
      <c r="D1327" s="5"/>
      <c r="H1327" s="5"/>
    </row>
    <row r="1328" spans="3:8" x14ac:dyDescent="0.25">
      <c r="C1328" s="5"/>
      <c r="D1328" s="5"/>
      <c r="H1328" s="5"/>
    </row>
    <row r="1329" spans="3:8" x14ac:dyDescent="0.25">
      <c r="C1329" s="5"/>
      <c r="D1329" s="5"/>
      <c r="H1329" s="5"/>
    </row>
    <row r="1330" spans="3:8" x14ac:dyDescent="0.25">
      <c r="C1330" s="5"/>
      <c r="D1330" s="5"/>
      <c r="H1330" s="5"/>
    </row>
    <row r="1331" spans="3:8" x14ac:dyDescent="0.25">
      <c r="C1331" s="5"/>
      <c r="D1331" s="5"/>
      <c r="H1331" s="5"/>
    </row>
    <row r="1332" spans="3:8" x14ac:dyDescent="0.25">
      <c r="C1332" s="5"/>
      <c r="D1332" s="5"/>
      <c r="H1332" s="5"/>
    </row>
    <row r="1333" spans="3:8" x14ac:dyDescent="0.25">
      <c r="C1333" s="5"/>
      <c r="D1333" s="5"/>
      <c r="H1333" s="5"/>
    </row>
    <row r="1334" spans="3:8" x14ac:dyDescent="0.25">
      <c r="C1334" s="5"/>
      <c r="D1334" s="5"/>
      <c r="H1334" s="5"/>
    </row>
    <row r="1335" spans="3:8" x14ac:dyDescent="0.25">
      <c r="C1335" s="5"/>
      <c r="D1335" s="5"/>
      <c r="H1335" s="5"/>
    </row>
    <row r="1336" spans="3:8" x14ac:dyDescent="0.25">
      <c r="C1336" s="5"/>
      <c r="D1336" s="5"/>
      <c r="H1336" s="5"/>
    </row>
    <row r="1337" spans="3:8" x14ac:dyDescent="0.25">
      <c r="C1337" s="5"/>
      <c r="D1337" s="5"/>
      <c r="H1337" s="5"/>
    </row>
    <row r="1338" spans="3:8" x14ac:dyDescent="0.25">
      <c r="C1338" s="5"/>
      <c r="D1338" s="5"/>
      <c r="H1338" s="5"/>
    </row>
    <row r="1339" spans="3:8" x14ac:dyDescent="0.25">
      <c r="C1339" s="5"/>
      <c r="D1339" s="5"/>
      <c r="H1339" s="5"/>
    </row>
    <row r="1340" spans="3:8" x14ac:dyDescent="0.25">
      <c r="C1340" s="5"/>
      <c r="D1340" s="5"/>
      <c r="H1340" s="5"/>
    </row>
    <row r="1341" spans="3:8" x14ac:dyDescent="0.25">
      <c r="C1341" s="5"/>
      <c r="D1341" s="5"/>
      <c r="H1341" s="5"/>
    </row>
    <row r="1342" spans="3:8" x14ac:dyDescent="0.25">
      <c r="C1342" s="5"/>
      <c r="D1342" s="5"/>
      <c r="H1342" s="5"/>
    </row>
    <row r="1343" spans="3:8" x14ac:dyDescent="0.25">
      <c r="C1343" s="5"/>
      <c r="D1343" s="5"/>
      <c r="H1343" s="5"/>
    </row>
    <row r="1344" spans="3:8" x14ac:dyDescent="0.25">
      <c r="C1344" s="5"/>
      <c r="D1344" s="5"/>
      <c r="H1344" s="5"/>
    </row>
    <row r="1345" spans="3:8" x14ac:dyDescent="0.25">
      <c r="C1345" s="5"/>
      <c r="D1345" s="5"/>
      <c r="H1345" s="5"/>
    </row>
    <row r="1346" spans="3:8" x14ac:dyDescent="0.25">
      <c r="C1346" s="5"/>
      <c r="D1346" s="5"/>
      <c r="H1346" s="5"/>
    </row>
    <row r="1347" spans="3:8" x14ac:dyDescent="0.25">
      <c r="C1347" s="5"/>
      <c r="D1347" s="5"/>
      <c r="H1347" s="5"/>
    </row>
    <row r="1348" spans="3:8" x14ac:dyDescent="0.25">
      <c r="C1348" s="5"/>
      <c r="D1348" s="5"/>
      <c r="H1348" s="5"/>
    </row>
    <row r="1349" spans="3:8" x14ac:dyDescent="0.25">
      <c r="C1349" s="5"/>
      <c r="D1349" s="5"/>
      <c r="H1349" s="5"/>
    </row>
    <row r="1350" spans="3:8" x14ac:dyDescent="0.25">
      <c r="C1350" s="5"/>
      <c r="D1350" s="5"/>
      <c r="H1350" s="5"/>
    </row>
    <row r="1351" spans="3:8" x14ac:dyDescent="0.25">
      <c r="C1351" s="5"/>
      <c r="D1351" s="5"/>
      <c r="H1351" s="5"/>
    </row>
    <row r="1352" spans="3:8" x14ac:dyDescent="0.25">
      <c r="C1352" s="5"/>
      <c r="D1352" s="5"/>
      <c r="H1352" s="5"/>
    </row>
    <row r="1353" spans="3:8" x14ac:dyDescent="0.25">
      <c r="C1353" s="5"/>
      <c r="D1353" s="5"/>
      <c r="H1353" s="5"/>
    </row>
    <row r="1354" spans="3:8" x14ac:dyDescent="0.25">
      <c r="C1354" s="5"/>
      <c r="D1354" s="5"/>
      <c r="H1354" s="5"/>
    </row>
    <row r="1355" spans="3:8" x14ac:dyDescent="0.25">
      <c r="C1355" s="5"/>
      <c r="D1355" s="5"/>
      <c r="H1355" s="5"/>
    </row>
    <row r="1356" spans="3:8" x14ac:dyDescent="0.25">
      <c r="C1356" s="5"/>
      <c r="D1356" s="5"/>
      <c r="H1356" s="5"/>
    </row>
    <row r="1357" spans="3:8" x14ac:dyDescent="0.25">
      <c r="C1357" s="5"/>
      <c r="D1357" s="5"/>
      <c r="H1357" s="5"/>
    </row>
    <row r="1358" spans="3:8" x14ac:dyDescent="0.25">
      <c r="C1358" s="5"/>
      <c r="D1358" s="5"/>
      <c r="H1358" s="5"/>
    </row>
    <row r="1359" spans="3:8" x14ac:dyDescent="0.25">
      <c r="C1359" s="5"/>
      <c r="D1359" s="5"/>
      <c r="H1359" s="5"/>
    </row>
    <row r="1360" spans="3:8" x14ac:dyDescent="0.25">
      <c r="C1360" s="5"/>
      <c r="D1360" s="5"/>
      <c r="H1360" s="5"/>
    </row>
    <row r="1361" spans="3:8" x14ac:dyDescent="0.25">
      <c r="C1361" s="5"/>
      <c r="D1361" s="5"/>
      <c r="H1361" s="5"/>
    </row>
    <row r="1362" spans="3:8" x14ac:dyDescent="0.25">
      <c r="C1362" s="5"/>
      <c r="D1362" s="5"/>
      <c r="H1362" s="5"/>
    </row>
    <row r="1363" spans="3:8" x14ac:dyDescent="0.25">
      <c r="C1363" s="5"/>
      <c r="D1363" s="5"/>
      <c r="H1363" s="5"/>
    </row>
    <row r="1364" spans="3:8" x14ac:dyDescent="0.25">
      <c r="C1364" s="5"/>
      <c r="D1364" s="5"/>
      <c r="H1364" s="5"/>
    </row>
    <row r="1365" spans="3:8" x14ac:dyDescent="0.25">
      <c r="C1365" s="5"/>
      <c r="D1365" s="5"/>
      <c r="H1365" s="5"/>
    </row>
    <row r="1366" spans="3:8" x14ac:dyDescent="0.25">
      <c r="C1366" s="5"/>
      <c r="D1366" s="5"/>
      <c r="H1366" s="5"/>
    </row>
    <row r="1367" spans="3:8" x14ac:dyDescent="0.25">
      <c r="C1367" s="5"/>
      <c r="D1367" s="5"/>
      <c r="H1367" s="5"/>
    </row>
    <row r="1368" spans="3:8" x14ac:dyDescent="0.25">
      <c r="C1368" s="5"/>
      <c r="D1368" s="5"/>
      <c r="H1368" s="5"/>
    </row>
    <row r="1369" spans="3:8" x14ac:dyDescent="0.25">
      <c r="C1369" s="5"/>
      <c r="D1369" s="5"/>
      <c r="H1369" s="5"/>
    </row>
    <row r="1370" spans="3:8" x14ac:dyDescent="0.25">
      <c r="C1370" s="5"/>
      <c r="D1370" s="5"/>
      <c r="H1370" s="5"/>
    </row>
    <row r="1371" spans="3:8" x14ac:dyDescent="0.25">
      <c r="C1371" s="5"/>
      <c r="D1371" s="5"/>
      <c r="H1371" s="5"/>
    </row>
    <row r="1372" spans="3:8" x14ac:dyDescent="0.25">
      <c r="C1372" s="5"/>
      <c r="D1372" s="5"/>
      <c r="H1372" s="5"/>
    </row>
    <row r="1373" spans="3:8" x14ac:dyDescent="0.25">
      <c r="C1373" s="5"/>
      <c r="D1373" s="5"/>
      <c r="H1373" s="5"/>
    </row>
    <row r="1374" spans="3:8" x14ac:dyDescent="0.25">
      <c r="C1374" s="5"/>
      <c r="D1374" s="5"/>
      <c r="H1374" s="5"/>
    </row>
    <row r="1375" spans="3:8" x14ac:dyDescent="0.25">
      <c r="C1375" s="5"/>
      <c r="D1375" s="5"/>
      <c r="H1375" s="5"/>
    </row>
    <row r="1376" spans="3:8" x14ac:dyDescent="0.25">
      <c r="C1376" s="5"/>
      <c r="D1376" s="5"/>
      <c r="H1376" s="5"/>
    </row>
    <row r="1377" spans="3:8" x14ac:dyDescent="0.25">
      <c r="C1377" s="5"/>
      <c r="D1377" s="5"/>
      <c r="H1377" s="5"/>
    </row>
    <row r="1378" spans="3:8" x14ac:dyDescent="0.25">
      <c r="C1378" s="5"/>
      <c r="D1378" s="5"/>
      <c r="H1378" s="5"/>
    </row>
    <row r="1379" spans="3:8" x14ac:dyDescent="0.25">
      <c r="C1379" s="5"/>
      <c r="D1379" s="5"/>
      <c r="H1379" s="5"/>
    </row>
    <row r="1380" spans="3:8" x14ac:dyDescent="0.25">
      <c r="C1380" s="5"/>
      <c r="D1380" s="5"/>
      <c r="H1380" s="5"/>
    </row>
    <row r="1381" spans="3:8" x14ac:dyDescent="0.25">
      <c r="C1381" s="5"/>
      <c r="D1381" s="5"/>
      <c r="H1381" s="5"/>
    </row>
    <row r="1382" spans="3:8" x14ac:dyDescent="0.25">
      <c r="C1382" s="5"/>
      <c r="D1382" s="5"/>
      <c r="H1382" s="5"/>
    </row>
    <row r="1383" spans="3:8" x14ac:dyDescent="0.25">
      <c r="C1383" s="5"/>
      <c r="D1383" s="5"/>
      <c r="H1383" s="5"/>
    </row>
    <row r="1384" spans="3:8" x14ac:dyDescent="0.25">
      <c r="C1384" s="5"/>
      <c r="D1384" s="5"/>
      <c r="H1384" s="5"/>
    </row>
    <row r="1385" spans="3:8" x14ac:dyDescent="0.25">
      <c r="C1385" s="5"/>
      <c r="D1385" s="5"/>
      <c r="H1385" s="5"/>
    </row>
    <row r="1386" spans="3:8" x14ac:dyDescent="0.25">
      <c r="C1386" s="5"/>
      <c r="D1386" s="5"/>
      <c r="H1386" s="5"/>
    </row>
    <row r="1387" spans="3:8" x14ac:dyDescent="0.25">
      <c r="C1387" s="5"/>
      <c r="D1387" s="5"/>
      <c r="H1387" s="5"/>
    </row>
    <row r="1388" spans="3:8" x14ac:dyDescent="0.25">
      <c r="C1388" s="5"/>
      <c r="D1388" s="5"/>
      <c r="H1388" s="5"/>
    </row>
    <row r="1389" spans="3:8" x14ac:dyDescent="0.25">
      <c r="C1389" s="5"/>
      <c r="D1389" s="5"/>
      <c r="H1389" s="5"/>
    </row>
    <row r="1390" spans="3:8" x14ac:dyDescent="0.25">
      <c r="C1390" s="5"/>
      <c r="D1390" s="5"/>
      <c r="H1390" s="5"/>
    </row>
    <row r="1391" spans="3:8" x14ac:dyDescent="0.25">
      <c r="C1391" s="5"/>
      <c r="D1391" s="5"/>
      <c r="H1391" s="5"/>
    </row>
    <row r="1392" spans="3:8" x14ac:dyDescent="0.25">
      <c r="C1392" s="5"/>
      <c r="D1392" s="5"/>
      <c r="H1392" s="5"/>
    </row>
    <row r="1393" spans="3:8" x14ac:dyDescent="0.25">
      <c r="C1393" s="5"/>
      <c r="D1393" s="5"/>
      <c r="H1393" s="5"/>
    </row>
    <row r="1394" spans="3:8" x14ac:dyDescent="0.25">
      <c r="C1394" s="5"/>
      <c r="D1394" s="5"/>
      <c r="H1394" s="5"/>
    </row>
    <row r="1395" spans="3:8" x14ac:dyDescent="0.25">
      <c r="C1395" s="5"/>
      <c r="D1395" s="5"/>
      <c r="H1395" s="5"/>
    </row>
    <row r="1396" spans="3:8" x14ac:dyDescent="0.25">
      <c r="C1396" s="5"/>
      <c r="D1396" s="5"/>
      <c r="H1396" s="5"/>
    </row>
    <row r="1397" spans="3:8" x14ac:dyDescent="0.25">
      <c r="C1397" s="5"/>
      <c r="D1397" s="5"/>
      <c r="H1397" s="5"/>
    </row>
    <row r="1398" spans="3:8" x14ac:dyDescent="0.25">
      <c r="C1398" s="5"/>
      <c r="D1398" s="5"/>
      <c r="H1398" s="5"/>
    </row>
    <row r="1399" spans="3:8" x14ac:dyDescent="0.25">
      <c r="C1399" s="5"/>
      <c r="D1399" s="5"/>
      <c r="H1399" s="5"/>
    </row>
    <row r="1400" spans="3:8" x14ac:dyDescent="0.25">
      <c r="C1400" s="5"/>
      <c r="D1400" s="5"/>
      <c r="H1400" s="5"/>
    </row>
    <row r="1401" spans="3:8" x14ac:dyDescent="0.25">
      <c r="C1401" s="5"/>
      <c r="D1401" s="5"/>
      <c r="H1401" s="5"/>
    </row>
    <row r="1402" spans="3:8" x14ac:dyDescent="0.25">
      <c r="C1402" s="5"/>
      <c r="D1402" s="5"/>
      <c r="H1402" s="5"/>
    </row>
    <row r="1403" spans="3:8" x14ac:dyDescent="0.25">
      <c r="C1403" s="5"/>
      <c r="D1403" s="5"/>
      <c r="H1403" s="5"/>
    </row>
    <row r="1404" spans="3:8" x14ac:dyDescent="0.25">
      <c r="C1404" s="5"/>
      <c r="D1404" s="5"/>
      <c r="H1404" s="5"/>
    </row>
    <row r="1405" spans="3:8" x14ac:dyDescent="0.25">
      <c r="C1405" s="5"/>
      <c r="D1405" s="5"/>
      <c r="H1405" s="5"/>
    </row>
    <row r="1406" spans="3:8" x14ac:dyDescent="0.25">
      <c r="C1406" s="5"/>
      <c r="D1406" s="5"/>
      <c r="H1406" s="5"/>
    </row>
    <row r="1407" spans="3:8" x14ac:dyDescent="0.25">
      <c r="C1407" s="5"/>
      <c r="D1407" s="5"/>
      <c r="H1407" s="5"/>
    </row>
    <row r="1408" spans="3:8" x14ac:dyDescent="0.25">
      <c r="C1408" s="5"/>
      <c r="D1408" s="5"/>
      <c r="H1408" s="5"/>
    </row>
    <row r="1409" spans="3:8" x14ac:dyDescent="0.25">
      <c r="C1409" s="5"/>
      <c r="D1409" s="5"/>
      <c r="H1409" s="5"/>
    </row>
    <row r="1410" spans="3:8" x14ac:dyDescent="0.25">
      <c r="C1410" s="5"/>
      <c r="D1410" s="5"/>
      <c r="H1410" s="5"/>
    </row>
    <row r="1411" spans="3:8" x14ac:dyDescent="0.25">
      <c r="C1411" s="5"/>
      <c r="D1411" s="5"/>
      <c r="H1411" s="5"/>
    </row>
    <row r="1412" spans="3:8" x14ac:dyDescent="0.25">
      <c r="C1412" s="5"/>
      <c r="D1412" s="5"/>
      <c r="H1412" s="5"/>
    </row>
    <row r="1413" spans="3:8" x14ac:dyDescent="0.25">
      <c r="C1413" s="5"/>
      <c r="D1413" s="5"/>
      <c r="H1413" s="5"/>
    </row>
    <row r="1414" spans="3:8" x14ac:dyDescent="0.25">
      <c r="C1414" s="5"/>
      <c r="D1414" s="5"/>
      <c r="H1414" s="5"/>
    </row>
    <row r="1415" spans="3:8" x14ac:dyDescent="0.25">
      <c r="C1415" s="5"/>
      <c r="D1415" s="5"/>
      <c r="H1415" s="5"/>
    </row>
    <row r="1416" spans="3:8" x14ac:dyDescent="0.25">
      <c r="C1416" s="5"/>
      <c r="D1416" s="5"/>
      <c r="H1416" s="5"/>
    </row>
    <row r="1417" spans="3:8" x14ac:dyDescent="0.25">
      <c r="C1417" s="5"/>
      <c r="D1417" s="5"/>
      <c r="H1417" s="5"/>
    </row>
    <row r="1418" spans="3:8" x14ac:dyDescent="0.25">
      <c r="C1418" s="5"/>
      <c r="D1418" s="5"/>
      <c r="H1418" s="5"/>
    </row>
    <row r="1419" spans="3:8" x14ac:dyDescent="0.25">
      <c r="C1419" s="5"/>
      <c r="D1419" s="5"/>
      <c r="H1419" s="5"/>
    </row>
    <row r="1420" spans="3:8" x14ac:dyDescent="0.25">
      <c r="C1420" s="5"/>
      <c r="D1420" s="5"/>
      <c r="H1420" s="5"/>
    </row>
    <row r="1421" spans="3:8" x14ac:dyDescent="0.25">
      <c r="C1421" s="5"/>
      <c r="D1421" s="5"/>
      <c r="H1421" s="5"/>
    </row>
    <row r="1422" spans="3:8" x14ac:dyDescent="0.25">
      <c r="C1422" s="5"/>
      <c r="D1422" s="5"/>
      <c r="H1422" s="5"/>
    </row>
    <row r="1423" spans="3:8" x14ac:dyDescent="0.25">
      <c r="C1423" s="5"/>
      <c r="D1423" s="5"/>
      <c r="H1423" s="5"/>
    </row>
    <row r="1424" spans="3:8" x14ac:dyDescent="0.25">
      <c r="C1424" s="5"/>
      <c r="D1424" s="5"/>
      <c r="H1424" s="5"/>
    </row>
    <row r="1425" spans="3:8" x14ac:dyDescent="0.25">
      <c r="C1425" s="5"/>
      <c r="D1425" s="5"/>
      <c r="H1425" s="5"/>
    </row>
    <row r="1426" spans="3:8" x14ac:dyDescent="0.25">
      <c r="C1426" s="5"/>
      <c r="D1426" s="5"/>
      <c r="H1426" s="5"/>
    </row>
    <row r="1427" spans="3:8" x14ac:dyDescent="0.25">
      <c r="C1427" s="5"/>
      <c r="D1427" s="5"/>
      <c r="H1427" s="5"/>
    </row>
    <row r="1428" spans="3:8" x14ac:dyDescent="0.25">
      <c r="C1428" s="5"/>
      <c r="D1428" s="5"/>
      <c r="H1428" s="5"/>
    </row>
    <row r="1429" spans="3:8" x14ac:dyDescent="0.25">
      <c r="C1429" s="5"/>
      <c r="D1429" s="5"/>
      <c r="H1429" s="5"/>
    </row>
    <row r="1430" spans="3:8" x14ac:dyDescent="0.25">
      <c r="C1430" s="5"/>
      <c r="D1430" s="5"/>
      <c r="H1430" s="5"/>
    </row>
    <row r="1431" spans="3:8" x14ac:dyDescent="0.25">
      <c r="C1431" s="5"/>
      <c r="D1431" s="5"/>
      <c r="H1431" s="5"/>
    </row>
    <row r="1432" spans="3:8" x14ac:dyDescent="0.25">
      <c r="C1432" s="5"/>
      <c r="D1432" s="5"/>
      <c r="H1432" s="5"/>
    </row>
    <row r="1433" spans="3:8" x14ac:dyDescent="0.25">
      <c r="C1433" s="5"/>
      <c r="D1433" s="5"/>
      <c r="H1433" s="5"/>
    </row>
    <row r="1434" spans="3:8" x14ac:dyDescent="0.25">
      <c r="C1434" s="5"/>
      <c r="D1434" s="5"/>
      <c r="H1434" s="5"/>
    </row>
    <row r="1435" spans="3:8" x14ac:dyDescent="0.25">
      <c r="C1435" s="5"/>
      <c r="D1435" s="5"/>
      <c r="H1435" s="5"/>
    </row>
    <row r="1436" spans="3:8" x14ac:dyDescent="0.25">
      <c r="C1436" s="5"/>
      <c r="D1436" s="5"/>
      <c r="H1436" s="5"/>
    </row>
    <row r="1437" spans="3:8" x14ac:dyDescent="0.25">
      <c r="C1437" s="5"/>
      <c r="D1437" s="5"/>
      <c r="H1437" s="5"/>
    </row>
    <row r="1438" spans="3:8" x14ac:dyDescent="0.25">
      <c r="C1438" s="5"/>
      <c r="D1438" s="5"/>
      <c r="H1438" s="5"/>
    </row>
    <row r="1439" spans="3:8" x14ac:dyDescent="0.25">
      <c r="C1439" s="5"/>
      <c r="D1439" s="5"/>
      <c r="H1439" s="5"/>
    </row>
    <row r="1440" spans="3:8" x14ac:dyDescent="0.25">
      <c r="C1440" s="5"/>
      <c r="D1440" s="5"/>
      <c r="H1440" s="5"/>
    </row>
    <row r="1441" spans="3:8" x14ac:dyDescent="0.25">
      <c r="C1441" s="5"/>
      <c r="D1441" s="5"/>
      <c r="H1441" s="5"/>
    </row>
    <row r="1442" spans="3:8" x14ac:dyDescent="0.25">
      <c r="C1442" s="5"/>
      <c r="D1442" s="5"/>
      <c r="H1442" s="5"/>
    </row>
    <row r="1443" spans="3:8" x14ac:dyDescent="0.25">
      <c r="C1443" s="5"/>
      <c r="D1443" s="5"/>
      <c r="H1443" s="5"/>
    </row>
    <row r="1444" spans="3:8" x14ac:dyDescent="0.25">
      <c r="C1444" s="5"/>
      <c r="D1444" s="5"/>
      <c r="H1444" s="5"/>
    </row>
    <row r="1445" spans="3:8" x14ac:dyDescent="0.25">
      <c r="C1445" s="5"/>
      <c r="D1445" s="5"/>
      <c r="H1445" s="5"/>
    </row>
    <row r="1446" spans="3:8" x14ac:dyDescent="0.25">
      <c r="C1446" s="5"/>
      <c r="D1446" s="5"/>
      <c r="H1446" s="5"/>
    </row>
    <row r="1447" spans="3:8" x14ac:dyDescent="0.25">
      <c r="C1447" s="5"/>
      <c r="D1447" s="5"/>
      <c r="H1447" s="5"/>
    </row>
    <row r="1448" spans="3:8" x14ac:dyDescent="0.25">
      <c r="C1448" s="5"/>
      <c r="D1448" s="5"/>
      <c r="H1448" s="5"/>
    </row>
    <row r="1449" spans="3:8" x14ac:dyDescent="0.25">
      <c r="C1449" s="5"/>
      <c r="D1449" s="5"/>
      <c r="H1449" s="5"/>
    </row>
    <row r="1450" spans="3:8" x14ac:dyDescent="0.25">
      <c r="C1450" s="5"/>
      <c r="D1450" s="5"/>
      <c r="H1450" s="5"/>
    </row>
    <row r="1451" spans="3:8" x14ac:dyDescent="0.25">
      <c r="C1451" s="5"/>
      <c r="D1451" s="5"/>
      <c r="H1451" s="5"/>
    </row>
    <row r="1452" spans="3:8" x14ac:dyDescent="0.25">
      <c r="C1452" s="5"/>
      <c r="D1452" s="5"/>
      <c r="H1452" s="5"/>
    </row>
    <row r="1453" spans="3:8" x14ac:dyDescent="0.25">
      <c r="C1453" s="5"/>
      <c r="D1453" s="5"/>
      <c r="H1453" s="5"/>
    </row>
    <row r="1454" spans="3:8" x14ac:dyDescent="0.25">
      <c r="C1454" s="5"/>
      <c r="D1454" s="5"/>
      <c r="H1454" s="5"/>
    </row>
    <row r="1455" spans="3:8" x14ac:dyDescent="0.25">
      <c r="C1455" s="5"/>
      <c r="D1455" s="5"/>
      <c r="H1455" s="5"/>
    </row>
    <row r="1456" spans="3:8" x14ac:dyDescent="0.25">
      <c r="C1456" s="5"/>
      <c r="D1456" s="5"/>
      <c r="H1456" s="5"/>
    </row>
    <row r="1457" spans="3:11" x14ac:dyDescent="0.25">
      <c r="C1457" s="5"/>
      <c r="D1457" s="5"/>
      <c r="H1457" s="5"/>
    </row>
    <row r="1458" spans="3:11" x14ac:dyDescent="0.25">
      <c r="C1458" s="68"/>
      <c r="D1458" s="68"/>
      <c r="E1458" s="68"/>
      <c r="F1458" s="69"/>
      <c r="G1458" s="69"/>
      <c r="H1458" s="68"/>
      <c r="I1458" s="44"/>
      <c r="J1458" s="44"/>
      <c r="K1458" s="44"/>
    </row>
    <row r="1459" spans="3:11" x14ac:dyDescent="0.25">
      <c r="C1459" s="5"/>
      <c r="D1459" s="5"/>
      <c r="H1459" s="5"/>
    </row>
    <row r="1460" spans="3:11" x14ac:dyDescent="0.25">
      <c r="C1460" s="5"/>
      <c r="D1460" s="5"/>
      <c r="H1460" s="5"/>
    </row>
    <row r="1461" spans="3:11" x14ac:dyDescent="0.25">
      <c r="C1461" s="5"/>
      <c r="D1461" s="5"/>
      <c r="H1461" s="5"/>
    </row>
    <row r="1462" spans="3:11" x14ac:dyDescent="0.25">
      <c r="C1462" s="5"/>
      <c r="D1462" s="5"/>
      <c r="H1462" s="5"/>
    </row>
    <row r="1463" spans="3:11" x14ac:dyDescent="0.25">
      <c r="C1463" s="5"/>
      <c r="D1463" s="5"/>
      <c r="H1463" s="5"/>
    </row>
    <row r="1464" spans="3:11" x14ac:dyDescent="0.25">
      <c r="C1464" s="5"/>
      <c r="D1464" s="5"/>
      <c r="H1464" s="5"/>
    </row>
    <row r="1465" spans="3:11" x14ac:dyDescent="0.25">
      <c r="C1465" s="5"/>
      <c r="D1465" s="5"/>
      <c r="H1465" s="5"/>
    </row>
    <row r="1466" spans="3:11" x14ac:dyDescent="0.25">
      <c r="C1466" s="5"/>
      <c r="D1466" s="5"/>
      <c r="H1466" s="5"/>
    </row>
    <row r="1467" spans="3:11" x14ac:dyDescent="0.25">
      <c r="C1467" s="5"/>
      <c r="D1467" s="5"/>
      <c r="H1467" s="5"/>
    </row>
    <row r="1468" spans="3:11" x14ac:dyDescent="0.25">
      <c r="C1468" s="5"/>
      <c r="D1468" s="5"/>
      <c r="H1468" s="5"/>
    </row>
    <row r="1469" spans="3:11" x14ac:dyDescent="0.25">
      <c r="C1469" s="5"/>
      <c r="D1469" s="5"/>
      <c r="H1469" s="5"/>
    </row>
    <row r="1470" spans="3:11" x14ac:dyDescent="0.25">
      <c r="C1470" s="5"/>
      <c r="D1470" s="5"/>
      <c r="H1470" s="5"/>
    </row>
    <row r="1471" spans="3:11" x14ac:dyDescent="0.25">
      <c r="C1471" s="5"/>
      <c r="D1471" s="5"/>
      <c r="H1471" s="5"/>
    </row>
    <row r="1472" spans="3:11" x14ac:dyDescent="0.25">
      <c r="C1472" s="5"/>
      <c r="D1472" s="5"/>
      <c r="H1472" s="5"/>
    </row>
    <row r="1473" spans="3:8" x14ac:dyDescent="0.25">
      <c r="C1473" s="5"/>
      <c r="D1473" s="5"/>
      <c r="H1473" s="5"/>
    </row>
    <row r="1474" spans="3:8" x14ac:dyDescent="0.25">
      <c r="C1474" s="5"/>
      <c r="D1474" s="5"/>
      <c r="H1474" s="5"/>
    </row>
    <row r="1475" spans="3:8" x14ac:dyDescent="0.25">
      <c r="C1475" s="5"/>
      <c r="D1475" s="5"/>
      <c r="H1475" s="5"/>
    </row>
    <row r="1476" spans="3:8" x14ac:dyDescent="0.25">
      <c r="C1476" s="5"/>
      <c r="D1476" s="5"/>
      <c r="H1476" s="5"/>
    </row>
    <row r="1477" spans="3:8" x14ac:dyDescent="0.25">
      <c r="C1477" s="5"/>
      <c r="D1477" s="5"/>
      <c r="H1477" s="5"/>
    </row>
    <row r="1478" spans="3:8" x14ac:dyDescent="0.25">
      <c r="C1478" s="5"/>
      <c r="D1478" s="5"/>
      <c r="H1478" s="5"/>
    </row>
    <row r="1479" spans="3:8" x14ac:dyDescent="0.25">
      <c r="C1479" s="5"/>
      <c r="D1479" s="5"/>
      <c r="H1479" s="5"/>
    </row>
    <row r="1480" spans="3:8" x14ac:dyDescent="0.25">
      <c r="C1480" s="5"/>
      <c r="D1480" s="5"/>
      <c r="H1480" s="5"/>
    </row>
    <row r="1481" spans="3:8" x14ac:dyDescent="0.25">
      <c r="C1481" s="5"/>
      <c r="D1481" s="5"/>
      <c r="H1481" s="5"/>
    </row>
    <row r="1482" spans="3:8" x14ac:dyDescent="0.25">
      <c r="C1482" s="5"/>
      <c r="D1482" s="5"/>
      <c r="H1482" s="5"/>
    </row>
    <row r="1483" spans="3:8" x14ac:dyDescent="0.25">
      <c r="C1483" s="5"/>
      <c r="D1483" s="5"/>
      <c r="H1483" s="5"/>
    </row>
    <row r="1484" spans="3:8" x14ac:dyDescent="0.25">
      <c r="C1484" s="5"/>
      <c r="D1484" s="5"/>
      <c r="H1484" s="5"/>
    </row>
    <row r="1485" spans="3:8" x14ac:dyDescent="0.25">
      <c r="C1485" s="5"/>
      <c r="D1485" s="5"/>
      <c r="H1485" s="5"/>
    </row>
    <row r="1486" spans="3:8" x14ac:dyDescent="0.25">
      <c r="C1486" s="5"/>
      <c r="D1486" s="5"/>
      <c r="H1486" s="5"/>
    </row>
    <row r="1487" spans="3:8" x14ac:dyDescent="0.25">
      <c r="C1487" s="5"/>
      <c r="D1487" s="5"/>
      <c r="H1487" s="5"/>
    </row>
    <row r="1488" spans="3:8" x14ac:dyDescent="0.25">
      <c r="C1488" s="5"/>
      <c r="D1488" s="5"/>
      <c r="H1488" s="5"/>
    </row>
    <row r="1489" spans="3:8" x14ac:dyDescent="0.25">
      <c r="C1489" s="5"/>
      <c r="D1489" s="5"/>
      <c r="H1489" s="5"/>
    </row>
    <row r="1490" spans="3:8" x14ac:dyDescent="0.25">
      <c r="C1490" s="5"/>
      <c r="D1490" s="5"/>
      <c r="H1490" s="5"/>
    </row>
    <row r="1491" spans="3:8" x14ac:dyDescent="0.25">
      <c r="C1491" s="5"/>
      <c r="D1491" s="5"/>
      <c r="H1491" s="5"/>
    </row>
    <row r="1492" spans="3:8" x14ac:dyDescent="0.25">
      <c r="C1492" s="5"/>
      <c r="D1492" s="5"/>
      <c r="H1492" s="5"/>
    </row>
    <row r="1493" spans="3:8" x14ac:dyDescent="0.25">
      <c r="C1493" s="5"/>
      <c r="D1493" s="5"/>
      <c r="H1493" s="5"/>
    </row>
    <row r="1494" spans="3:8" x14ac:dyDescent="0.25">
      <c r="C1494" s="5"/>
      <c r="D1494" s="5"/>
      <c r="H1494" s="5"/>
    </row>
    <row r="1495" spans="3:8" x14ac:dyDescent="0.25">
      <c r="C1495" s="5"/>
      <c r="D1495" s="5"/>
      <c r="H1495" s="5"/>
    </row>
    <row r="1496" spans="3:8" x14ac:dyDescent="0.25">
      <c r="C1496" s="5"/>
      <c r="D1496" s="5"/>
      <c r="H1496" s="5"/>
    </row>
    <row r="1497" spans="3:8" x14ac:dyDescent="0.25">
      <c r="C1497" s="5"/>
      <c r="D1497" s="5"/>
      <c r="H1497" s="5"/>
    </row>
    <row r="1498" spans="3:8" x14ac:dyDescent="0.25">
      <c r="C1498" s="5"/>
      <c r="D1498" s="5"/>
      <c r="H1498" s="5"/>
    </row>
    <row r="1499" spans="3:8" x14ac:dyDescent="0.25">
      <c r="C1499" s="5"/>
      <c r="D1499" s="5"/>
      <c r="H1499" s="5"/>
    </row>
    <row r="1500" spans="3:8" x14ac:dyDescent="0.25">
      <c r="C1500" s="5"/>
      <c r="D1500" s="5"/>
      <c r="H1500" s="5"/>
    </row>
    <row r="1501" spans="3:8" x14ac:dyDescent="0.25">
      <c r="C1501" s="5"/>
      <c r="D1501" s="5"/>
      <c r="H1501" s="5"/>
    </row>
    <row r="1502" spans="3:8" x14ac:dyDescent="0.25">
      <c r="C1502" s="5"/>
      <c r="D1502" s="5"/>
      <c r="H1502" s="5"/>
    </row>
    <row r="1503" spans="3:8" x14ac:dyDescent="0.25">
      <c r="C1503" s="5"/>
      <c r="D1503" s="5"/>
      <c r="H1503" s="5"/>
    </row>
    <row r="1504" spans="3:8" x14ac:dyDescent="0.25">
      <c r="C1504" s="5"/>
      <c r="D1504" s="5"/>
      <c r="H1504" s="5"/>
    </row>
    <row r="1505" spans="3:11" x14ac:dyDescent="0.25">
      <c r="C1505" s="5"/>
      <c r="D1505" s="5"/>
      <c r="H1505" s="5"/>
    </row>
    <row r="1506" spans="3:11" x14ac:dyDescent="0.25">
      <c r="C1506" s="5"/>
      <c r="D1506" s="5"/>
      <c r="H1506" s="5"/>
    </row>
    <row r="1507" spans="3:11" x14ac:dyDescent="0.25">
      <c r="C1507" s="5"/>
      <c r="D1507" s="5"/>
      <c r="H1507" s="5"/>
    </row>
    <row r="1508" spans="3:11" x14ac:dyDescent="0.25">
      <c r="C1508" s="5"/>
      <c r="D1508" s="5"/>
      <c r="H1508" s="5"/>
    </row>
    <row r="1509" spans="3:11" x14ac:dyDescent="0.25">
      <c r="C1509" s="5"/>
      <c r="D1509" s="5"/>
      <c r="H1509" s="5"/>
    </row>
    <row r="1510" spans="3:11" x14ac:dyDescent="0.25">
      <c r="C1510" s="5"/>
      <c r="D1510" s="5"/>
      <c r="H1510" s="5"/>
    </row>
    <row r="1511" spans="3:11" x14ac:dyDescent="0.25">
      <c r="C1511" s="5"/>
      <c r="D1511" s="5"/>
      <c r="H1511" s="5"/>
    </row>
    <row r="1512" spans="3:11" x14ac:dyDescent="0.25">
      <c r="C1512" s="5"/>
      <c r="D1512" s="5"/>
      <c r="H1512" s="5"/>
    </row>
    <row r="1513" spans="3:11" x14ac:dyDescent="0.25">
      <c r="C1513" s="5"/>
      <c r="D1513" s="5"/>
      <c r="H1513" s="5"/>
    </row>
    <row r="1514" spans="3:11" x14ac:dyDescent="0.25">
      <c r="C1514" s="5"/>
      <c r="D1514" s="5"/>
      <c r="H1514" s="5"/>
    </row>
    <row r="1515" spans="3:11" x14ac:dyDescent="0.25">
      <c r="C1515" s="5"/>
      <c r="D1515" s="5"/>
      <c r="H1515" s="5"/>
    </row>
    <row r="1516" spans="3:11" x14ac:dyDescent="0.25">
      <c r="C1516" s="5"/>
      <c r="D1516" s="5"/>
      <c r="H1516" s="5"/>
    </row>
    <row r="1517" spans="3:11" x14ac:dyDescent="0.25">
      <c r="C1517" s="68"/>
      <c r="D1517" s="68"/>
      <c r="E1517" s="68"/>
      <c r="F1517" s="69"/>
      <c r="G1517" s="69"/>
      <c r="H1517" s="68"/>
      <c r="I1517" s="44"/>
      <c r="J1517" s="44"/>
      <c r="K1517" s="44"/>
    </row>
    <row r="1518" spans="3:11" x14ac:dyDescent="0.25">
      <c r="C1518" s="5"/>
      <c r="D1518" s="5"/>
      <c r="H1518" s="5"/>
    </row>
    <row r="1519" spans="3:11" x14ac:dyDescent="0.25">
      <c r="C1519" s="5"/>
      <c r="D1519" s="5"/>
      <c r="H1519" s="5"/>
    </row>
    <row r="1520" spans="3:11" x14ac:dyDescent="0.25">
      <c r="C1520" s="5"/>
      <c r="D1520" s="5"/>
      <c r="H1520" s="5"/>
    </row>
    <row r="1521" spans="3:8" x14ac:dyDescent="0.25">
      <c r="C1521" s="5"/>
      <c r="D1521" s="5"/>
      <c r="H1521" s="5"/>
    </row>
    <row r="1522" spans="3:8" x14ac:dyDescent="0.25">
      <c r="C1522" s="5"/>
      <c r="D1522" s="5"/>
      <c r="H1522" s="5"/>
    </row>
    <row r="1523" spans="3:8" x14ac:dyDescent="0.25">
      <c r="C1523" s="5"/>
      <c r="D1523" s="5"/>
      <c r="H1523" s="5"/>
    </row>
    <row r="1524" spans="3:8" x14ac:dyDescent="0.25">
      <c r="C1524" s="5"/>
      <c r="D1524" s="5"/>
      <c r="H1524" s="5"/>
    </row>
    <row r="1525" spans="3:8" x14ac:dyDescent="0.25">
      <c r="C1525" s="5"/>
      <c r="D1525" s="5"/>
      <c r="H1525" s="5"/>
    </row>
    <row r="1526" spans="3:8" x14ac:dyDescent="0.25">
      <c r="C1526" s="5"/>
      <c r="D1526" s="5"/>
      <c r="H1526" s="5"/>
    </row>
    <row r="1527" spans="3:8" x14ac:dyDescent="0.25">
      <c r="C1527" s="5"/>
      <c r="D1527" s="5"/>
      <c r="H1527" s="5"/>
    </row>
    <row r="1528" spans="3:8" x14ac:dyDescent="0.25">
      <c r="C1528" s="5"/>
      <c r="D1528" s="5"/>
      <c r="H1528" s="5"/>
    </row>
    <row r="1529" spans="3:8" x14ac:dyDescent="0.25">
      <c r="C1529" s="5"/>
      <c r="D1529" s="5"/>
      <c r="H1529" s="5"/>
    </row>
    <row r="1530" spans="3:8" x14ac:dyDescent="0.25">
      <c r="C1530" s="5"/>
      <c r="D1530" s="5"/>
      <c r="H1530" s="5"/>
    </row>
    <row r="1531" spans="3:8" x14ac:dyDescent="0.25">
      <c r="C1531" s="5"/>
      <c r="D1531" s="5"/>
      <c r="H1531" s="5"/>
    </row>
    <row r="1532" spans="3:8" x14ac:dyDescent="0.25">
      <c r="C1532" s="5"/>
      <c r="D1532" s="5"/>
      <c r="H1532" s="5"/>
    </row>
    <row r="1533" spans="3:8" x14ac:dyDescent="0.25">
      <c r="C1533" s="5"/>
      <c r="D1533" s="5"/>
      <c r="H1533" s="5"/>
    </row>
    <row r="1534" spans="3:8" x14ac:dyDescent="0.25">
      <c r="C1534" s="5"/>
      <c r="D1534" s="5"/>
      <c r="H1534" s="5"/>
    </row>
    <row r="1535" spans="3:8" x14ac:dyDescent="0.25">
      <c r="C1535" s="5"/>
      <c r="D1535" s="5"/>
      <c r="H1535" s="5"/>
    </row>
    <row r="1536" spans="3:8" x14ac:dyDescent="0.25">
      <c r="C1536" s="5"/>
      <c r="D1536" s="5"/>
      <c r="H1536" s="5"/>
    </row>
    <row r="1537" spans="3:11" x14ac:dyDescent="0.25">
      <c r="C1537" s="5"/>
      <c r="D1537" s="5"/>
      <c r="H1537" s="5"/>
    </row>
    <row r="1538" spans="3:11" x14ac:dyDescent="0.25">
      <c r="C1538" s="5"/>
      <c r="D1538" s="5"/>
      <c r="H1538" s="5"/>
    </row>
    <row r="1539" spans="3:11" x14ac:dyDescent="0.25">
      <c r="C1539" s="5"/>
      <c r="D1539" s="5"/>
      <c r="H1539" s="5"/>
    </row>
    <row r="1540" spans="3:11" x14ac:dyDescent="0.25">
      <c r="C1540" s="5"/>
      <c r="D1540" s="5"/>
      <c r="H1540" s="5"/>
    </row>
    <row r="1541" spans="3:11" x14ac:dyDescent="0.25">
      <c r="C1541" s="5"/>
      <c r="D1541" s="5"/>
      <c r="H1541" s="5"/>
    </row>
    <row r="1542" spans="3:11" x14ac:dyDescent="0.25">
      <c r="C1542" s="5"/>
      <c r="D1542" s="5"/>
      <c r="H1542" s="5"/>
    </row>
    <row r="1543" spans="3:11" x14ac:dyDescent="0.25">
      <c r="C1543" s="5"/>
      <c r="D1543" s="5"/>
      <c r="H1543" s="5"/>
    </row>
    <row r="1544" spans="3:11" x14ac:dyDescent="0.25">
      <c r="C1544" s="5"/>
      <c r="D1544" s="5"/>
      <c r="H1544" s="5"/>
    </row>
    <row r="1545" spans="3:11" x14ac:dyDescent="0.25">
      <c r="C1545" s="5"/>
      <c r="D1545" s="5"/>
      <c r="H1545" s="5"/>
    </row>
    <row r="1546" spans="3:11" x14ac:dyDescent="0.25">
      <c r="C1546" s="70"/>
      <c r="D1546" s="70"/>
      <c r="E1546" s="71"/>
      <c r="F1546" s="70"/>
      <c r="G1546" s="70"/>
      <c r="H1546" s="70"/>
      <c r="I1546" s="72"/>
      <c r="J1546" s="72"/>
      <c r="K1546" s="72"/>
    </row>
    <row r="1547" spans="3:11" x14ac:dyDescent="0.25">
      <c r="C1547" s="70"/>
      <c r="D1547" s="70"/>
      <c r="E1547" s="71"/>
      <c r="F1547" s="73"/>
      <c r="G1547" s="73"/>
      <c r="H1547" s="74"/>
      <c r="I1547" s="24"/>
      <c r="J1547" s="24"/>
      <c r="K1547" s="24"/>
    </row>
    <row r="1548" spans="3:11" x14ac:dyDescent="0.25">
      <c r="C1548" s="70"/>
      <c r="D1548" s="70"/>
      <c r="E1548" s="71"/>
      <c r="F1548" s="73"/>
      <c r="G1548" s="73"/>
      <c r="H1548" s="74"/>
      <c r="I1548" s="24"/>
      <c r="J1548" s="24"/>
      <c r="K1548" s="24"/>
    </row>
    <row r="1549" spans="3:11" x14ac:dyDescent="0.25">
      <c r="C1549" s="70"/>
      <c r="D1549" s="70"/>
      <c r="E1549" s="71"/>
      <c r="F1549" s="73"/>
      <c r="G1549" s="73"/>
      <c r="H1549" s="74"/>
      <c r="I1549" s="24"/>
      <c r="J1549" s="24"/>
      <c r="K1549" s="24"/>
    </row>
    <row r="1550" spans="3:11" x14ac:dyDescent="0.25">
      <c r="C1550" s="70"/>
      <c r="D1550" s="70"/>
      <c r="E1550" s="71"/>
      <c r="F1550" s="73"/>
      <c r="G1550" s="73"/>
      <c r="H1550" s="70"/>
      <c r="I1550" s="72"/>
      <c r="J1550" s="72"/>
      <c r="K1550" s="72"/>
    </row>
    <row r="1551" spans="3:11" x14ac:dyDescent="0.25">
      <c r="C1551" s="70"/>
      <c r="D1551" s="70"/>
      <c r="E1551" s="71"/>
      <c r="F1551" s="73"/>
      <c r="G1551" s="73"/>
      <c r="H1551" s="70"/>
      <c r="I1551" s="72"/>
      <c r="J1551" s="72"/>
      <c r="K1551" s="72"/>
    </row>
    <row r="1552" spans="3:11" x14ac:dyDescent="0.25">
      <c r="C1552" s="70"/>
      <c r="D1552" s="70"/>
      <c r="E1552" s="71"/>
      <c r="F1552" s="73"/>
      <c r="G1552" s="73"/>
      <c r="H1552" s="70"/>
      <c r="I1552" s="72"/>
      <c r="J1552" s="72"/>
      <c r="K1552" s="72"/>
    </row>
    <row r="1553" spans="3:11" x14ac:dyDescent="0.25">
      <c r="C1553" s="70"/>
      <c r="D1553" s="70"/>
      <c r="E1553" s="71"/>
      <c r="F1553" s="73"/>
      <c r="G1553" s="73"/>
      <c r="H1553" s="70"/>
      <c r="I1553" s="72"/>
      <c r="J1553" s="72"/>
      <c r="K1553" s="72"/>
    </row>
    <row r="1554" spans="3:11" x14ac:dyDescent="0.25">
      <c r="C1554" s="70"/>
      <c r="D1554" s="70"/>
      <c r="E1554" s="71"/>
      <c r="F1554" s="73"/>
      <c r="G1554" s="73"/>
      <c r="H1554" s="70"/>
      <c r="I1554" s="72"/>
      <c r="J1554" s="72"/>
      <c r="K1554" s="72"/>
    </row>
    <row r="1555" spans="3:11" x14ac:dyDescent="0.25">
      <c r="C1555" s="70"/>
      <c r="D1555" s="70"/>
      <c r="E1555" s="71"/>
      <c r="F1555" s="73"/>
      <c r="G1555" s="73"/>
      <c r="H1555" s="70"/>
      <c r="I1555" s="72"/>
      <c r="J1555" s="72"/>
      <c r="K1555" s="72"/>
    </row>
    <row r="1556" spans="3:11" x14ac:dyDescent="0.25">
      <c r="C1556" s="70"/>
      <c r="D1556" s="70"/>
      <c r="E1556" s="71"/>
      <c r="F1556" s="73"/>
      <c r="G1556" s="73"/>
      <c r="H1556" s="70"/>
      <c r="I1556" s="72"/>
      <c r="J1556" s="72"/>
      <c r="K1556" s="72"/>
    </row>
    <row r="1557" spans="3:11" x14ac:dyDescent="0.25">
      <c r="C1557" s="70"/>
      <c r="D1557" s="70"/>
      <c r="E1557" s="71"/>
      <c r="F1557" s="73"/>
      <c r="G1557" s="73"/>
      <c r="H1557" s="70"/>
      <c r="I1557" s="72"/>
      <c r="J1557" s="72"/>
      <c r="K1557" s="72"/>
    </row>
    <row r="1558" spans="3:11" x14ac:dyDescent="0.25">
      <c r="C1558" s="70"/>
      <c r="D1558" s="70"/>
      <c r="E1558" s="71"/>
      <c r="F1558" s="73"/>
      <c r="G1558" s="73"/>
      <c r="H1558" s="70"/>
      <c r="I1558" s="72"/>
      <c r="J1558" s="72"/>
      <c r="K1558" s="72"/>
    </row>
    <row r="1559" spans="3:11" x14ac:dyDescent="0.25">
      <c r="C1559" s="75"/>
      <c r="D1559" s="70"/>
      <c r="E1559" s="71"/>
      <c r="F1559" s="73"/>
      <c r="G1559" s="73"/>
      <c r="H1559" s="70"/>
      <c r="I1559" s="72"/>
      <c r="J1559" s="72"/>
      <c r="K1559" s="72"/>
    </row>
    <row r="1560" spans="3:11" x14ac:dyDescent="0.25">
      <c r="C1560" s="75"/>
      <c r="D1560" s="70"/>
      <c r="E1560" s="71"/>
      <c r="F1560" s="73"/>
      <c r="G1560" s="73"/>
      <c r="H1560" s="70"/>
      <c r="I1560" s="72"/>
      <c r="J1560" s="72"/>
      <c r="K1560" s="72"/>
    </row>
    <row r="1561" spans="3:11" x14ac:dyDescent="0.25">
      <c r="C1561" s="75"/>
      <c r="D1561" s="70"/>
      <c r="E1561" s="71"/>
      <c r="F1561" s="73"/>
      <c r="G1561" s="73"/>
      <c r="H1561" s="70"/>
      <c r="I1561" s="72"/>
      <c r="J1561" s="72"/>
      <c r="K1561" s="72"/>
    </row>
    <row r="1562" spans="3:11" x14ac:dyDescent="0.25">
      <c r="C1562" s="75"/>
      <c r="D1562" s="70"/>
      <c r="E1562" s="71"/>
      <c r="F1562" s="73"/>
      <c r="G1562" s="73"/>
      <c r="H1562" s="70"/>
      <c r="I1562" s="72"/>
      <c r="J1562" s="72"/>
      <c r="K1562" s="72"/>
    </row>
    <row r="1563" spans="3:11" x14ac:dyDescent="0.25">
      <c r="C1563" s="75"/>
      <c r="D1563" s="70"/>
      <c r="E1563" s="71"/>
      <c r="F1563" s="73"/>
      <c r="G1563" s="73"/>
      <c r="H1563" s="70"/>
      <c r="I1563" s="72"/>
      <c r="J1563" s="72"/>
      <c r="K1563" s="72"/>
    </row>
    <row r="1564" spans="3:11" x14ac:dyDescent="0.25">
      <c r="C1564" s="75"/>
      <c r="D1564" s="70"/>
      <c r="E1564" s="71"/>
      <c r="F1564" s="73"/>
      <c r="G1564" s="73"/>
      <c r="H1564" s="70"/>
      <c r="I1564" s="72"/>
      <c r="J1564" s="72"/>
      <c r="K1564" s="72"/>
    </row>
    <row r="1565" spans="3:11" x14ac:dyDescent="0.25">
      <c r="C1565" s="75"/>
      <c r="D1565" s="70"/>
      <c r="E1565" s="71"/>
      <c r="F1565" s="73"/>
      <c r="G1565" s="73"/>
      <c r="H1565" s="70"/>
      <c r="I1565" s="72"/>
      <c r="J1565" s="72"/>
      <c r="K1565" s="72"/>
    </row>
    <row r="1566" spans="3:11" x14ac:dyDescent="0.25">
      <c r="C1566" s="75"/>
      <c r="D1566" s="70"/>
      <c r="E1566" s="71"/>
      <c r="F1566" s="73"/>
      <c r="G1566" s="73"/>
      <c r="H1566" s="70"/>
      <c r="I1566" s="72"/>
      <c r="J1566" s="72"/>
      <c r="K1566" s="72"/>
    </row>
    <row r="1567" spans="3:11" x14ac:dyDescent="0.25">
      <c r="C1567" s="75"/>
      <c r="D1567" s="70"/>
      <c r="E1567" s="71"/>
      <c r="F1567" s="73"/>
      <c r="G1567" s="73"/>
      <c r="H1567" s="70"/>
      <c r="I1567" s="72"/>
      <c r="J1567" s="72"/>
      <c r="K1567" s="72"/>
    </row>
    <row r="1568" spans="3:11" x14ac:dyDescent="0.25">
      <c r="C1568" s="75"/>
      <c r="D1568" s="70"/>
      <c r="E1568" s="71"/>
      <c r="F1568" s="73"/>
      <c r="G1568" s="73"/>
      <c r="H1568" s="70"/>
      <c r="I1568" s="72"/>
      <c r="J1568" s="72"/>
      <c r="K1568" s="72"/>
    </row>
    <row r="1569" spans="3:11" x14ac:dyDescent="0.25">
      <c r="C1569" s="75"/>
      <c r="D1569" s="70"/>
      <c r="E1569" s="71"/>
      <c r="F1569" s="73"/>
      <c r="G1569" s="73"/>
      <c r="H1569" s="70"/>
      <c r="I1569" s="72"/>
      <c r="J1569" s="72"/>
      <c r="K1569" s="72"/>
    </row>
    <row r="1570" spans="3:11" x14ac:dyDescent="0.25">
      <c r="C1570" s="75"/>
      <c r="D1570" s="70"/>
      <c r="E1570" s="71"/>
      <c r="F1570" s="73"/>
      <c r="G1570" s="73"/>
      <c r="H1570" s="70"/>
      <c r="I1570" s="72"/>
      <c r="J1570" s="72"/>
      <c r="K1570" s="72"/>
    </row>
    <row r="1571" spans="3:11" x14ac:dyDescent="0.25">
      <c r="C1571" s="75"/>
      <c r="D1571" s="70"/>
      <c r="E1571" s="71"/>
      <c r="F1571" s="73"/>
      <c r="G1571" s="73"/>
      <c r="H1571" s="70"/>
      <c r="I1571" s="72"/>
      <c r="J1571" s="72"/>
      <c r="K1571" s="72"/>
    </row>
    <row r="1572" spans="3:11" x14ac:dyDescent="0.25">
      <c r="C1572" s="75"/>
      <c r="D1572" s="70"/>
      <c r="E1572" s="71"/>
      <c r="F1572" s="73"/>
      <c r="G1572" s="73"/>
      <c r="H1572" s="70"/>
      <c r="I1572" s="72"/>
      <c r="J1572" s="72"/>
      <c r="K1572" s="72"/>
    </row>
    <row r="1573" spans="3:11" x14ac:dyDescent="0.25">
      <c r="C1573" s="75"/>
      <c r="D1573" s="70"/>
      <c r="E1573" s="71"/>
      <c r="F1573" s="73"/>
      <c r="G1573" s="73"/>
      <c r="H1573" s="70"/>
      <c r="I1573" s="72"/>
      <c r="J1573" s="72"/>
      <c r="K1573" s="72"/>
    </row>
    <row r="1574" spans="3:11" x14ac:dyDescent="0.25">
      <c r="C1574" s="70"/>
      <c r="D1574" s="70"/>
      <c r="E1574" s="71"/>
      <c r="F1574" s="73"/>
      <c r="G1574" s="73"/>
      <c r="H1574" s="70"/>
      <c r="I1574" s="72"/>
      <c r="J1574" s="72"/>
      <c r="K1574" s="72"/>
    </row>
    <row r="1575" spans="3:11" x14ac:dyDescent="0.25">
      <c r="C1575" s="70"/>
      <c r="D1575" s="70"/>
      <c r="E1575" s="71"/>
      <c r="F1575" s="73"/>
      <c r="G1575" s="73"/>
      <c r="H1575" s="70"/>
      <c r="I1575" s="72"/>
      <c r="J1575" s="72"/>
      <c r="K1575" s="72"/>
    </row>
    <row r="1576" spans="3:11" x14ac:dyDescent="0.25">
      <c r="C1576" s="70"/>
      <c r="D1576" s="70"/>
      <c r="E1576" s="71"/>
      <c r="F1576" s="73"/>
      <c r="G1576" s="73"/>
      <c r="H1576" s="70"/>
      <c r="I1576" s="72"/>
      <c r="J1576" s="72"/>
      <c r="K1576" s="72"/>
    </row>
    <row r="1577" spans="3:11" x14ac:dyDescent="0.25">
      <c r="C1577" s="70"/>
      <c r="D1577" s="70"/>
      <c r="E1577" s="71"/>
      <c r="F1577" s="73"/>
      <c r="G1577" s="73"/>
      <c r="H1577" s="70"/>
      <c r="I1577" s="72"/>
      <c r="J1577" s="72"/>
      <c r="K1577" s="72"/>
    </row>
    <row r="1578" spans="3:11" x14ac:dyDescent="0.25">
      <c r="C1578" s="70"/>
      <c r="D1578" s="70"/>
      <c r="E1578" s="71"/>
      <c r="F1578" s="73"/>
      <c r="G1578" s="73"/>
      <c r="H1578" s="70"/>
      <c r="I1578" s="72"/>
      <c r="J1578" s="72"/>
      <c r="K1578" s="72"/>
    </row>
    <row r="1579" spans="3:11" x14ac:dyDescent="0.25">
      <c r="C1579" s="70"/>
      <c r="D1579" s="70"/>
      <c r="E1579" s="71"/>
      <c r="F1579" s="73"/>
      <c r="G1579" s="73"/>
      <c r="H1579" s="70"/>
      <c r="I1579" s="72"/>
      <c r="J1579" s="72"/>
      <c r="K1579" s="72"/>
    </row>
    <row r="1580" spans="3:11" x14ac:dyDescent="0.25">
      <c r="C1580" s="70"/>
      <c r="D1580" s="70"/>
      <c r="E1580" s="71"/>
      <c r="F1580" s="73"/>
      <c r="G1580" s="73"/>
      <c r="H1580" s="70"/>
      <c r="I1580" s="72"/>
      <c r="J1580" s="72"/>
      <c r="K1580" s="72"/>
    </row>
    <row r="1581" spans="3:11" x14ac:dyDescent="0.25">
      <c r="C1581" s="70"/>
      <c r="D1581" s="73"/>
      <c r="E1581" s="71"/>
      <c r="F1581" s="73"/>
      <c r="G1581" s="73"/>
      <c r="H1581" s="70"/>
      <c r="I1581" s="72"/>
      <c r="J1581" s="72"/>
      <c r="K1581" s="72"/>
    </row>
    <row r="1582" spans="3:11" x14ac:dyDescent="0.25">
      <c r="C1582" s="70"/>
      <c r="D1582" s="73"/>
      <c r="E1582" s="71"/>
      <c r="F1582" s="73"/>
      <c r="G1582" s="73"/>
      <c r="H1582" s="70"/>
      <c r="I1582" s="72"/>
      <c r="J1582" s="72"/>
      <c r="K1582" s="72"/>
    </row>
    <row r="1583" spans="3:11" x14ac:dyDescent="0.25">
      <c r="C1583" s="70"/>
      <c r="D1583" s="73"/>
      <c r="E1583" s="71"/>
      <c r="F1583" s="73"/>
      <c r="G1583" s="73"/>
      <c r="H1583" s="70"/>
      <c r="I1583" s="72"/>
      <c r="J1583" s="72"/>
      <c r="K1583" s="72"/>
    </row>
    <row r="1584" spans="3:11" x14ac:dyDescent="0.25">
      <c r="C1584" s="70"/>
      <c r="D1584" s="73"/>
      <c r="E1584" s="71"/>
      <c r="F1584" s="73"/>
      <c r="G1584" s="73"/>
      <c r="H1584" s="70"/>
      <c r="I1584" s="72"/>
      <c r="J1584" s="72"/>
      <c r="K1584" s="72"/>
    </row>
    <row r="1585" spans="3:11" x14ac:dyDescent="0.25">
      <c r="C1585" s="70"/>
      <c r="D1585" s="70"/>
      <c r="E1585" s="71"/>
      <c r="F1585" s="73"/>
      <c r="G1585" s="73"/>
      <c r="H1585" s="70"/>
      <c r="I1585" s="72"/>
      <c r="J1585" s="72"/>
      <c r="K1585" s="72"/>
    </row>
    <row r="1586" spans="3:11" x14ac:dyDescent="0.25">
      <c r="C1586" s="70"/>
      <c r="D1586" s="70"/>
      <c r="E1586" s="71"/>
      <c r="F1586" s="73"/>
      <c r="G1586" s="73"/>
      <c r="H1586" s="70"/>
      <c r="I1586" s="72"/>
      <c r="J1586" s="72"/>
      <c r="K1586" s="72"/>
    </row>
    <row r="1587" spans="3:11" x14ac:dyDescent="0.25">
      <c r="C1587" s="70"/>
      <c r="D1587" s="70"/>
      <c r="E1587" s="71"/>
      <c r="F1587" s="73"/>
      <c r="G1587" s="73"/>
      <c r="H1587" s="70"/>
      <c r="I1587" s="72"/>
      <c r="J1587" s="72"/>
      <c r="K1587" s="72"/>
    </row>
    <row r="1588" spans="3:11" x14ac:dyDescent="0.25">
      <c r="C1588" s="70"/>
      <c r="D1588" s="70"/>
      <c r="E1588" s="71"/>
      <c r="F1588" s="73"/>
      <c r="G1588" s="73"/>
      <c r="H1588" s="70"/>
      <c r="I1588" s="72"/>
      <c r="J1588" s="72"/>
      <c r="K1588" s="72"/>
    </row>
    <row r="1589" spans="3:11" x14ac:dyDescent="0.25">
      <c r="C1589" s="70"/>
      <c r="D1589" s="70"/>
      <c r="E1589" s="71"/>
      <c r="F1589" s="73"/>
      <c r="G1589" s="73"/>
      <c r="H1589" s="70"/>
      <c r="I1589" s="72"/>
      <c r="J1589" s="72"/>
      <c r="K1589" s="72"/>
    </row>
    <row r="1590" spans="3:11" x14ac:dyDescent="0.25">
      <c r="C1590" s="70"/>
      <c r="D1590" s="70"/>
      <c r="E1590" s="71"/>
      <c r="F1590" s="73"/>
      <c r="G1590" s="73"/>
      <c r="H1590" s="70"/>
      <c r="I1590" s="72"/>
      <c r="J1590" s="72"/>
      <c r="K1590" s="72"/>
    </row>
    <row r="1591" spans="3:11" x14ac:dyDescent="0.25">
      <c r="C1591" s="70"/>
      <c r="D1591" s="70"/>
      <c r="E1591" s="71"/>
      <c r="F1591" s="73"/>
      <c r="G1591" s="73"/>
      <c r="H1591" s="70"/>
      <c r="I1591" s="72"/>
      <c r="J1591" s="72"/>
      <c r="K1591" s="72"/>
    </row>
    <row r="1592" spans="3:11" x14ac:dyDescent="0.25">
      <c r="C1592" s="70"/>
      <c r="D1592" s="73"/>
      <c r="E1592" s="71"/>
      <c r="F1592" s="73"/>
      <c r="G1592" s="73"/>
      <c r="H1592" s="70"/>
      <c r="I1592" s="72"/>
      <c r="J1592" s="72"/>
      <c r="K1592" s="72"/>
    </row>
    <row r="1593" spans="3:11" x14ac:dyDescent="0.25">
      <c r="C1593" s="70"/>
      <c r="D1593" s="73"/>
      <c r="E1593" s="71"/>
      <c r="F1593" s="73"/>
      <c r="G1593" s="73"/>
      <c r="H1593" s="70"/>
      <c r="I1593" s="72"/>
      <c r="J1593" s="72"/>
      <c r="K1593" s="72"/>
    </row>
    <row r="1594" spans="3:11" x14ac:dyDescent="0.25">
      <c r="C1594" s="70"/>
      <c r="D1594" s="73"/>
      <c r="E1594" s="71"/>
      <c r="F1594" s="73"/>
      <c r="G1594" s="73"/>
      <c r="H1594" s="70"/>
      <c r="I1594" s="72"/>
      <c r="J1594" s="72"/>
      <c r="K1594" s="72"/>
    </row>
    <row r="1595" spans="3:11" x14ac:dyDescent="0.25">
      <c r="C1595" s="70"/>
      <c r="D1595" s="73"/>
      <c r="E1595" s="71"/>
      <c r="F1595" s="73"/>
      <c r="G1595" s="73"/>
      <c r="H1595" s="70"/>
      <c r="I1595" s="72"/>
      <c r="J1595" s="72"/>
      <c r="K1595" s="72"/>
    </row>
    <row r="1596" spans="3:11" x14ac:dyDescent="0.25">
      <c r="C1596" s="70"/>
      <c r="D1596" s="73"/>
      <c r="E1596" s="71"/>
      <c r="F1596" s="73"/>
      <c r="G1596" s="73"/>
      <c r="H1596" s="70"/>
      <c r="I1596" s="72"/>
      <c r="J1596" s="72"/>
      <c r="K1596" s="72"/>
    </row>
    <row r="1597" spans="3:11" x14ac:dyDescent="0.25">
      <c r="C1597" s="70"/>
      <c r="D1597" s="73"/>
      <c r="E1597" s="71"/>
      <c r="F1597" s="73"/>
      <c r="G1597" s="73"/>
      <c r="H1597" s="70"/>
      <c r="I1597" s="72"/>
      <c r="J1597" s="72"/>
      <c r="K1597" s="72"/>
    </row>
    <row r="1598" spans="3:11" x14ac:dyDescent="0.25">
      <c r="C1598" s="70"/>
      <c r="D1598" s="73"/>
      <c r="E1598" s="71"/>
      <c r="F1598" s="73"/>
      <c r="G1598" s="73"/>
      <c r="H1598" s="70"/>
      <c r="I1598" s="72"/>
      <c r="J1598" s="72"/>
      <c r="K1598" s="72"/>
    </row>
    <row r="1599" spans="3:11" x14ac:dyDescent="0.25">
      <c r="C1599" s="70"/>
      <c r="D1599" s="73"/>
      <c r="E1599" s="71"/>
      <c r="F1599" s="73"/>
      <c r="G1599" s="73"/>
      <c r="H1599" s="70"/>
      <c r="I1599" s="72"/>
      <c r="J1599" s="72"/>
      <c r="K1599" s="72"/>
    </row>
    <row r="1600" spans="3:11" x14ac:dyDescent="0.25">
      <c r="C1600" s="70"/>
      <c r="D1600" s="73"/>
      <c r="E1600" s="71"/>
      <c r="F1600" s="73"/>
      <c r="G1600" s="73"/>
      <c r="H1600" s="70"/>
      <c r="I1600" s="72"/>
      <c r="J1600" s="72"/>
      <c r="K1600" s="72"/>
    </row>
    <row r="1601" spans="3:11" x14ac:dyDescent="0.25">
      <c r="C1601" s="70"/>
      <c r="D1601" s="73"/>
      <c r="E1601" s="71"/>
      <c r="F1601" s="73"/>
      <c r="G1601" s="73"/>
      <c r="H1601" s="70"/>
      <c r="I1601" s="72"/>
      <c r="J1601" s="72"/>
      <c r="K1601" s="72"/>
    </row>
    <row r="1602" spans="3:11" x14ac:dyDescent="0.25">
      <c r="C1602" s="70"/>
      <c r="D1602" s="73"/>
      <c r="E1602" s="71"/>
      <c r="F1602" s="73"/>
      <c r="G1602" s="73"/>
      <c r="H1602" s="70"/>
      <c r="I1602" s="72"/>
      <c r="J1602" s="72"/>
      <c r="K1602" s="72"/>
    </row>
    <row r="1603" spans="3:11" x14ac:dyDescent="0.25">
      <c r="C1603" s="70"/>
      <c r="D1603" s="73"/>
      <c r="E1603" s="71"/>
      <c r="F1603" s="73"/>
      <c r="G1603" s="73"/>
      <c r="H1603" s="70"/>
      <c r="I1603" s="72"/>
      <c r="J1603" s="72"/>
      <c r="K1603" s="72"/>
    </row>
    <row r="1604" spans="3:11" x14ac:dyDescent="0.25">
      <c r="C1604" s="70"/>
      <c r="D1604" s="73"/>
      <c r="E1604" s="71"/>
      <c r="F1604" s="73"/>
      <c r="G1604" s="73"/>
      <c r="H1604" s="70"/>
      <c r="I1604" s="72"/>
      <c r="J1604" s="72"/>
      <c r="K1604" s="72"/>
    </row>
    <row r="1605" spans="3:11" x14ac:dyDescent="0.25">
      <c r="C1605" s="70"/>
      <c r="D1605" s="73"/>
      <c r="E1605" s="71"/>
      <c r="F1605" s="73"/>
      <c r="G1605" s="73"/>
      <c r="H1605" s="70"/>
      <c r="I1605" s="72"/>
      <c r="J1605" s="72"/>
      <c r="K1605" s="72"/>
    </row>
    <row r="1606" spans="3:11" x14ac:dyDescent="0.25">
      <c r="C1606" s="76"/>
      <c r="D1606" s="73"/>
      <c r="E1606" s="71"/>
      <c r="F1606" s="73"/>
      <c r="G1606" s="73"/>
      <c r="H1606" s="77"/>
      <c r="I1606" s="30"/>
      <c r="J1606" s="30"/>
      <c r="K1606" s="30"/>
    </row>
    <row r="1607" spans="3:11" x14ac:dyDescent="0.25">
      <c r="C1607" s="77"/>
      <c r="D1607" s="73"/>
      <c r="E1607" s="71"/>
      <c r="F1607" s="73"/>
      <c r="G1607" s="73"/>
      <c r="H1607" s="77"/>
      <c r="I1607" s="30"/>
      <c r="J1607" s="30"/>
      <c r="K1607" s="30"/>
    </row>
    <row r="1608" spans="3:11" x14ac:dyDescent="0.25">
      <c r="C1608" s="70"/>
      <c r="D1608" s="73"/>
      <c r="E1608" s="71"/>
      <c r="F1608" s="73"/>
      <c r="G1608" s="73"/>
      <c r="H1608" s="70"/>
      <c r="I1608" s="72"/>
      <c r="J1608" s="72"/>
      <c r="K1608" s="72"/>
    </row>
    <row r="1609" spans="3:11" x14ac:dyDescent="0.25">
      <c r="C1609" s="70"/>
      <c r="D1609" s="73"/>
      <c r="E1609" s="71"/>
      <c r="F1609" s="73"/>
      <c r="G1609" s="73"/>
      <c r="H1609" s="70"/>
      <c r="I1609" s="72"/>
      <c r="J1609" s="72"/>
      <c r="K1609" s="72"/>
    </row>
    <row r="1610" spans="3:11" x14ac:dyDescent="0.25">
      <c r="C1610" s="70"/>
      <c r="D1610" s="73"/>
      <c r="E1610" s="71"/>
      <c r="F1610" s="73"/>
      <c r="G1610" s="73"/>
      <c r="H1610" s="70"/>
      <c r="I1610" s="72"/>
      <c r="J1610" s="72"/>
      <c r="K1610" s="72"/>
    </row>
    <row r="1611" spans="3:11" x14ac:dyDescent="0.25">
      <c r="C1611" s="70"/>
      <c r="D1611" s="73"/>
      <c r="E1611" s="71"/>
      <c r="F1611" s="73"/>
      <c r="G1611" s="73"/>
      <c r="H1611" s="70"/>
      <c r="I1611" s="72"/>
      <c r="J1611" s="72"/>
      <c r="K1611" s="72"/>
    </row>
    <row r="1612" spans="3:11" x14ac:dyDescent="0.25">
      <c r="C1612" s="70"/>
      <c r="D1612" s="73"/>
      <c r="E1612" s="71"/>
      <c r="F1612" s="73"/>
      <c r="G1612" s="73"/>
      <c r="H1612" s="70"/>
      <c r="I1612" s="72"/>
      <c r="J1612" s="72"/>
      <c r="K1612" s="72"/>
    </row>
    <row r="1613" spans="3:11" x14ac:dyDescent="0.25">
      <c r="C1613" s="70"/>
      <c r="D1613" s="73"/>
      <c r="E1613" s="71"/>
      <c r="F1613" s="73"/>
      <c r="G1613" s="73"/>
      <c r="H1613" s="70"/>
      <c r="I1613" s="72"/>
      <c r="J1613" s="72"/>
      <c r="K1613" s="72"/>
    </row>
    <row r="1614" spans="3:11" x14ac:dyDescent="0.25">
      <c r="C1614" s="70"/>
      <c r="D1614" s="73"/>
      <c r="E1614" s="71"/>
      <c r="F1614" s="73"/>
      <c r="G1614" s="73"/>
      <c r="H1614" s="70"/>
      <c r="I1614" s="72"/>
      <c r="J1614" s="72"/>
      <c r="K1614" s="72"/>
    </row>
    <row r="1615" spans="3:11" x14ac:dyDescent="0.25">
      <c r="C1615" s="70"/>
      <c r="D1615" s="73"/>
      <c r="E1615" s="71"/>
      <c r="F1615" s="73"/>
      <c r="G1615" s="73"/>
      <c r="H1615" s="70"/>
      <c r="I1615" s="72"/>
      <c r="J1615" s="72"/>
      <c r="K1615" s="72"/>
    </row>
    <row r="1616" spans="3:11" x14ac:dyDescent="0.25">
      <c r="C1616" s="70"/>
      <c r="D1616" s="73"/>
      <c r="E1616" s="71"/>
      <c r="F1616" s="73"/>
      <c r="G1616" s="73"/>
      <c r="H1616" s="70"/>
      <c r="I1616" s="72"/>
      <c r="J1616" s="72"/>
      <c r="K1616" s="72"/>
    </row>
    <row r="1617" spans="3:11" x14ac:dyDescent="0.25">
      <c r="C1617" s="70"/>
      <c r="D1617" s="73"/>
      <c r="E1617" s="71"/>
      <c r="F1617" s="73"/>
      <c r="G1617" s="73"/>
      <c r="H1617" s="70"/>
      <c r="I1617" s="72"/>
      <c r="J1617" s="72"/>
      <c r="K1617" s="72"/>
    </row>
    <row r="1618" spans="3:11" x14ac:dyDescent="0.25">
      <c r="C1618" s="70"/>
      <c r="D1618" s="73"/>
      <c r="E1618" s="71"/>
      <c r="F1618" s="73"/>
      <c r="G1618" s="73"/>
      <c r="H1618" s="70"/>
      <c r="I1618" s="72"/>
      <c r="J1618" s="72"/>
      <c r="K1618" s="72"/>
    </row>
    <row r="1619" spans="3:11" x14ac:dyDescent="0.25">
      <c r="C1619" s="70"/>
      <c r="D1619" s="73"/>
      <c r="E1619" s="71"/>
      <c r="F1619" s="73"/>
      <c r="G1619" s="73"/>
      <c r="H1619" s="70"/>
      <c r="I1619" s="72"/>
      <c r="J1619" s="72"/>
      <c r="K1619" s="72"/>
    </row>
    <row r="1620" spans="3:11" x14ac:dyDescent="0.25">
      <c r="C1620" s="70"/>
      <c r="D1620" s="73"/>
      <c r="E1620" s="71"/>
      <c r="F1620" s="73"/>
      <c r="G1620" s="73"/>
      <c r="H1620" s="70"/>
      <c r="I1620" s="72"/>
      <c r="J1620" s="72"/>
      <c r="K1620" s="72"/>
    </row>
    <row r="1621" spans="3:11" x14ac:dyDescent="0.25">
      <c r="C1621" s="70"/>
      <c r="D1621" s="73"/>
      <c r="E1621" s="71"/>
      <c r="F1621" s="73"/>
      <c r="G1621" s="73"/>
      <c r="H1621" s="70"/>
      <c r="I1621" s="72"/>
      <c r="J1621" s="72"/>
      <c r="K1621" s="72"/>
    </row>
    <row r="1622" spans="3:11" x14ac:dyDescent="0.25">
      <c r="C1622" s="78"/>
      <c r="D1622" s="73"/>
      <c r="E1622" s="71"/>
      <c r="F1622" s="73"/>
      <c r="G1622" s="73"/>
      <c r="H1622" s="70"/>
      <c r="I1622" s="72"/>
      <c r="J1622" s="72"/>
      <c r="K1622" s="72"/>
    </row>
    <row r="1623" spans="3:11" x14ac:dyDescent="0.25">
      <c r="C1623" s="78"/>
      <c r="D1623" s="73"/>
      <c r="E1623" s="71"/>
      <c r="F1623" s="73"/>
      <c r="G1623" s="73"/>
      <c r="H1623" s="70"/>
      <c r="I1623" s="72"/>
      <c r="J1623" s="72"/>
      <c r="K1623" s="72"/>
    </row>
    <row r="1624" spans="3:11" x14ac:dyDescent="0.25">
      <c r="C1624" s="78"/>
      <c r="D1624" s="73"/>
      <c r="E1624" s="71"/>
      <c r="F1624" s="73"/>
      <c r="G1624" s="73"/>
      <c r="H1624" s="70"/>
      <c r="I1624" s="72"/>
      <c r="J1624" s="72"/>
      <c r="K1624" s="72"/>
    </row>
    <row r="1625" spans="3:11" x14ac:dyDescent="0.25">
      <c r="C1625" s="78"/>
      <c r="D1625" s="73"/>
      <c r="E1625" s="71"/>
      <c r="F1625" s="73"/>
      <c r="G1625" s="73"/>
      <c r="H1625" s="70"/>
      <c r="I1625" s="72"/>
      <c r="J1625" s="72"/>
      <c r="K1625" s="72"/>
    </row>
    <row r="1626" spans="3:11" x14ac:dyDescent="0.25">
      <c r="C1626" s="78"/>
      <c r="D1626" s="73"/>
      <c r="E1626" s="71"/>
      <c r="F1626" s="73"/>
      <c r="G1626" s="73"/>
      <c r="H1626" s="70"/>
      <c r="I1626" s="72"/>
      <c r="J1626" s="72"/>
      <c r="K1626" s="72"/>
    </row>
    <row r="1627" spans="3:11" x14ac:dyDescent="0.25">
      <c r="C1627" s="79"/>
      <c r="D1627" s="73"/>
      <c r="E1627" s="71"/>
      <c r="F1627" s="73"/>
      <c r="G1627" s="73"/>
      <c r="H1627" s="70"/>
      <c r="I1627" s="72"/>
      <c r="J1627" s="72"/>
      <c r="K1627" s="72"/>
    </row>
    <row r="1628" spans="3:11" x14ac:dyDescent="0.25">
      <c r="C1628" s="79"/>
      <c r="D1628" s="73"/>
      <c r="E1628" s="71"/>
      <c r="F1628" s="73"/>
      <c r="G1628" s="73"/>
      <c r="H1628" s="70"/>
      <c r="I1628" s="72"/>
      <c r="J1628" s="72"/>
      <c r="K1628" s="72"/>
    </row>
    <row r="1629" spans="3:11" x14ac:dyDescent="0.25">
      <c r="C1629" s="79"/>
      <c r="D1629" s="73"/>
      <c r="E1629" s="71"/>
      <c r="F1629" s="73"/>
      <c r="G1629" s="73"/>
      <c r="H1629" s="70"/>
      <c r="I1629" s="72"/>
      <c r="J1629" s="72"/>
      <c r="K1629" s="72"/>
    </row>
    <row r="1630" spans="3:11" x14ac:dyDescent="0.25">
      <c r="C1630" s="79"/>
      <c r="D1630" s="73"/>
      <c r="E1630" s="71"/>
      <c r="F1630" s="73"/>
      <c r="G1630" s="73"/>
      <c r="H1630" s="70"/>
      <c r="I1630" s="72"/>
      <c r="J1630" s="72"/>
      <c r="K1630" s="72"/>
    </row>
    <row r="1631" spans="3:11" x14ac:dyDescent="0.25">
      <c r="C1631" s="78"/>
      <c r="D1631" s="73"/>
      <c r="E1631" s="71"/>
      <c r="F1631" s="73"/>
      <c r="G1631" s="73"/>
      <c r="H1631" s="70"/>
      <c r="I1631" s="72"/>
      <c r="J1631" s="72"/>
      <c r="K1631" s="72"/>
    </row>
    <row r="1632" spans="3:11" x14ac:dyDescent="0.25">
      <c r="C1632" s="78"/>
      <c r="D1632" s="73"/>
      <c r="E1632" s="71"/>
      <c r="F1632" s="73"/>
      <c r="G1632" s="73"/>
      <c r="H1632" s="70"/>
      <c r="I1632" s="72"/>
      <c r="J1632" s="72"/>
      <c r="K1632" s="72"/>
    </row>
    <row r="1633" spans="3:11" x14ac:dyDescent="0.25">
      <c r="C1633" s="78"/>
      <c r="D1633" s="73"/>
      <c r="E1633" s="71"/>
      <c r="F1633" s="73"/>
      <c r="G1633" s="73"/>
      <c r="H1633" s="70"/>
      <c r="I1633" s="72"/>
      <c r="J1633" s="72"/>
      <c r="K1633" s="72"/>
    </row>
    <row r="1634" spans="3:11" x14ac:dyDescent="0.25">
      <c r="C1634" s="78"/>
      <c r="D1634" s="73"/>
      <c r="E1634" s="71"/>
      <c r="F1634" s="73"/>
      <c r="G1634" s="73"/>
      <c r="H1634" s="70"/>
      <c r="I1634" s="72"/>
      <c r="J1634" s="72"/>
      <c r="K1634" s="72"/>
    </row>
    <row r="1635" spans="3:11" x14ac:dyDescent="0.25">
      <c r="C1635" s="78"/>
      <c r="D1635" s="73"/>
      <c r="E1635" s="71"/>
      <c r="F1635" s="73"/>
      <c r="G1635" s="73"/>
      <c r="H1635" s="70"/>
      <c r="I1635" s="72"/>
      <c r="J1635" s="72"/>
      <c r="K1635" s="72"/>
    </row>
    <row r="1636" spans="3:11" x14ac:dyDescent="0.25">
      <c r="C1636" s="77"/>
      <c r="D1636" s="73"/>
      <c r="E1636" s="71"/>
      <c r="F1636" s="73"/>
      <c r="G1636" s="73"/>
      <c r="H1636" s="77"/>
      <c r="I1636" s="30"/>
      <c r="J1636" s="30"/>
      <c r="K1636" s="30"/>
    </row>
    <row r="1637" spans="3:11" x14ac:dyDescent="0.25">
      <c r="C1637" s="79"/>
      <c r="D1637" s="73"/>
      <c r="E1637" s="71"/>
      <c r="F1637" s="73"/>
      <c r="G1637" s="73"/>
      <c r="H1637" s="70"/>
      <c r="I1637" s="72"/>
      <c r="J1637" s="72"/>
      <c r="K1637" s="72"/>
    </row>
    <row r="1638" spans="3:11" x14ac:dyDescent="0.25">
      <c r="C1638" s="70"/>
      <c r="D1638" s="73"/>
      <c r="E1638" s="71"/>
      <c r="F1638" s="73"/>
      <c r="G1638" s="73"/>
      <c r="H1638" s="70"/>
      <c r="I1638" s="72"/>
      <c r="J1638" s="72"/>
      <c r="K1638" s="72"/>
    </row>
    <row r="1639" spans="3:11" x14ac:dyDescent="0.25">
      <c r="C1639" s="79"/>
      <c r="D1639" s="73"/>
      <c r="E1639" s="71"/>
      <c r="F1639" s="73"/>
      <c r="G1639" s="73"/>
      <c r="H1639" s="70"/>
      <c r="I1639" s="72"/>
      <c r="J1639" s="72"/>
      <c r="K1639" s="72"/>
    </row>
    <row r="1640" spans="3:11" x14ac:dyDescent="0.25">
      <c r="C1640" s="79"/>
      <c r="D1640" s="73"/>
      <c r="E1640" s="71"/>
      <c r="F1640" s="73"/>
      <c r="G1640" s="73"/>
      <c r="H1640" s="70"/>
      <c r="I1640" s="72"/>
      <c r="J1640" s="72"/>
      <c r="K1640" s="72"/>
    </row>
    <row r="1641" spans="3:11" x14ac:dyDescent="0.25">
      <c r="C1641" s="79"/>
      <c r="D1641" s="73"/>
      <c r="E1641" s="71"/>
      <c r="F1641" s="73"/>
      <c r="G1641" s="73"/>
      <c r="H1641" s="70"/>
      <c r="I1641" s="72"/>
      <c r="J1641" s="72"/>
      <c r="K1641" s="72"/>
    </row>
    <row r="1642" spans="3:11" x14ac:dyDescent="0.25">
      <c r="C1642" s="79"/>
      <c r="D1642" s="73"/>
      <c r="E1642" s="71"/>
      <c r="F1642" s="73"/>
      <c r="G1642" s="73"/>
      <c r="H1642" s="70"/>
      <c r="I1642" s="72"/>
      <c r="J1642" s="72"/>
      <c r="K1642" s="72"/>
    </row>
    <row r="1643" spans="3:11" x14ac:dyDescent="0.25">
      <c r="C1643" s="79"/>
      <c r="D1643" s="78"/>
      <c r="E1643" s="71"/>
      <c r="F1643" s="73"/>
      <c r="G1643" s="73"/>
      <c r="H1643" s="70"/>
      <c r="I1643" s="72"/>
      <c r="J1643" s="72"/>
      <c r="K1643" s="72"/>
    </row>
    <row r="1644" spans="3:11" x14ac:dyDescent="0.25">
      <c r="C1644" s="79"/>
      <c r="D1644" s="70"/>
      <c r="E1644" s="71"/>
      <c r="F1644" s="73"/>
      <c r="G1644" s="73"/>
      <c r="H1644" s="70"/>
      <c r="I1644" s="72"/>
      <c r="J1644" s="72"/>
      <c r="K1644" s="72"/>
    </row>
    <row r="1645" spans="3:11" x14ac:dyDescent="0.25">
      <c r="C1645" s="79"/>
      <c r="D1645" s="70"/>
      <c r="E1645" s="71"/>
      <c r="F1645" s="73"/>
      <c r="G1645" s="73"/>
      <c r="H1645" s="70"/>
      <c r="I1645" s="72"/>
      <c r="J1645" s="72"/>
      <c r="K1645" s="72"/>
    </row>
    <row r="1646" spans="3:11" x14ac:dyDescent="0.25">
      <c r="C1646" s="79"/>
      <c r="D1646" s="70"/>
      <c r="E1646" s="71"/>
      <c r="F1646" s="73"/>
      <c r="G1646" s="73"/>
      <c r="H1646" s="70"/>
      <c r="I1646" s="72"/>
      <c r="J1646" s="72"/>
      <c r="K1646" s="72"/>
    </row>
    <row r="1647" spans="3:11" x14ac:dyDescent="0.25">
      <c r="C1647" s="79"/>
      <c r="D1647" s="70"/>
      <c r="E1647" s="71"/>
      <c r="F1647" s="73"/>
      <c r="G1647" s="73"/>
      <c r="H1647" s="70"/>
      <c r="I1647" s="72"/>
      <c r="J1647" s="72"/>
      <c r="K1647" s="72"/>
    </row>
    <row r="1648" spans="3:11" x14ac:dyDescent="0.25">
      <c r="C1648" s="79"/>
      <c r="D1648" s="70"/>
      <c r="E1648" s="71"/>
      <c r="F1648" s="73"/>
      <c r="G1648" s="73"/>
      <c r="H1648" s="70"/>
      <c r="I1648" s="72"/>
      <c r="J1648" s="72"/>
      <c r="K1648" s="72"/>
    </row>
    <row r="1649" spans="3:11" x14ac:dyDescent="0.25">
      <c r="C1649" s="70"/>
      <c r="D1649" s="70"/>
      <c r="E1649" s="71"/>
      <c r="F1649" s="73"/>
      <c r="G1649" s="73"/>
      <c r="H1649" s="70"/>
      <c r="I1649" s="72"/>
      <c r="J1649" s="72"/>
      <c r="K1649" s="72"/>
    </row>
    <row r="1650" spans="3:11" x14ac:dyDescent="0.25">
      <c r="C1650" s="70"/>
      <c r="D1650" s="70"/>
      <c r="E1650" s="71"/>
      <c r="F1650" s="73"/>
      <c r="G1650" s="73"/>
      <c r="H1650" s="70"/>
      <c r="I1650" s="72"/>
      <c r="J1650" s="72"/>
      <c r="K1650" s="72"/>
    </row>
    <row r="1651" spans="3:11" x14ac:dyDescent="0.25">
      <c r="C1651" s="70"/>
      <c r="D1651" s="70"/>
      <c r="E1651" s="71"/>
      <c r="F1651" s="73"/>
      <c r="G1651" s="73"/>
      <c r="H1651" s="70"/>
      <c r="I1651" s="72"/>
      <c r="J1651" s="72"/>
      <c r="K1651" s="72"/>
    </row>
    <row r="1652" spans="3:11" x14ac:dyDescent="0.25">
      <c r="C1652" s="70"/>
      <c r="D1652" s="70"/>
      <c r="E1652" s="71"/>
      <c r="F1652" s="73"/>
      <c r="G1652" s="73"/>
      <c r="H1652" s="70"/>
      <c r="I1652" s="72"/>
      <c r="J1652" s="72"/>
      <c r="K1652" s="72"/>
    </row>
    <row r="1653" spans="3:11" x14ac:dyDescent="0.25">
      <c r="C1653" s="70"/>
      <c r="D1653" s="70"/>
      <c r="E1653" s="71"/>
      <c r="F1653" s="73"/>
      <c r="G1653" s="73"/>
      <c r="H1653" s="70"/>
      <c r="I1653" s="72"/>
      <c r="J1653" s="72"/>
      <c r="K1653" s="72"/>
    </row>
    <row r="1654" spans="3:11" x14ac:dyDescent="0.25">
      <c r="C1654" s="70"/>
      <c r="D1654" s="70"/>
      <c r="E1654" s="71"/>
      <c r="F1654" s="73"/>
      <c r="G1654" s="73"/>
      <c r="H1654" s="70"/>
      <c r="I1654" s="72"/>
      <c r="J1654" s="72"/>
      <c r="K1654" s="72"/>
    </row>
    <row r="1655" spans="3:11" x14ac:dyDescent="0.25">
      <c r="C1655" s="70"/>
      <c r="D1655" s="70"/>
      <c r="E1655" s="71"/>
      <c r="F1655" s="73"/>
      <c r="G1655" s="73"/>
      <c r="H1655" s="70"/>
      <c r="I1655" s="72"/>
      <c r="J1655" s="72"/>
      <c r="K1655" s="72"/>
    </row>
    <row r="1656" spans="3:11" x14ac:dyDescent="0.25">
      <c r="C1656" s="70"/>
      <c r="D1656" s="70"/>
      <c r="E1656" s="71"/>
      <c r="F1656" s="73"/>
      <c r="G1656" s="73"/>
      <c r="H1656" s="70"/>
      <c r="I1656" s="72"/>
      <c r="J1656" s="72"/>
      <c r="K1656" s="72"/>
    </row>
    <row r="1657" spans="3:11" x14ac:dyDescent="0.25">
      <c r="C1657" s="70"/>
      <c r="D1657" s="70"/>
      <c r="E1657" s="71"/>
      <c r="F1657" s="73"/>
      <c r="G1657" s="73"/>
      <c r="H1657" s="70"/>
      <c r="I1657" s="72"/>
      <c r="J1657" s="72"/>
      <c r="K1657" s="72"/>
    </row>
    <row r="1658" spans="3:11" x14ac:dyDescent="0.25">
      <c r="C1658" s="70"/>
      <c r="D1658" s="70"/>
      <c r="E1658" s="71"/>
      <c r="F1658" s="73"/>
      <c r="G1658" s="73"/>
      <c r="H1658" s="70"/>
      <c r="I1658" s="72"/>
      <c r="J1658" s="72"/>
      <c r="K1658" s="72"/>
    </row>
    <row r="1659" spans="3:11" x14ac:dyDescent="0.25">
      <c r="C1659" s="70"/>
      <c r="D1659" s="70"/>
      <c r="E1659" s="71"/>
      <c r="F1659" s="73"/>
      <c r="G1659" s="73"/>
      <c r="H1659" s="70"/>
      <c r="I1659" s="72"/>
      <c r="J1659" s="72"/>
      <c r="K1659" s="72"/>
    </row>
    <row r="1660" spans="3:11" x14ac:dyDescent="0.25">
      <c r="C1660" s="70"/>
      <c r="D1660" s="70"/>
      <c r="E1660" s="71"/>
      <c r="F1660" s="73"/>
      <c r="G1660" s="73"/>
      <c r="H1660" s="70"/>
      <c r="I1660" s="72"/>
      <c r="J1660" s="72"/>
      <c r="K1660" s="72"/>
    </row>
    <row r="1661" spans="3:11" x14ac:dyDescent="0.25">
      <c r="C1661" s="70"/>
      <c r="D1661" s="70"/>
      <c r="E1661" s="71"/>
      <c r="F1661" s="73"/>
      <c r="G1661" s="73"/>
      <c r="H1661" s="70"/>
      <c r="I1661" s="72"/>
      <c r="J1661" s="72"/>
      <c r="K1661" s="72"/>
    </row>
    <row r="1662" spans="3:11" x14ac:dyDescent="0.25">
      <c r="C1662" s="70"/>
      <c r="D1662" s="70"/>
      <c r="E1662" s="71"/>
      <c r="F1662" s="73"/>
      <c r="G1662" s="73"/>
      <c r="H1662" s="70"/>
      <c r="I1662" s="72"/>
      <c r="J1662" s="72"/>
      <c r="K1662" s="72"/>
    </row>
    <row r="1663" spans="3:11" x14ac:dyDescent="0.25">
      <c r="C1663" s="70"/>
      <c r="D1663" s="70"/>
      <c r="E1663" s="71"/>
      <c r="F1663" s="73"/>
      <c r="G1663" s="73"/>
      <c r="H1663" s="70"/>
      <c r="I1663" s="72"/>
      <c r="J1663" s="72"/>
      <c r="K1663" s="72"/>
    </row>
    <row r="1664" spans="3:11" x14ac:dyDescent="0.25">
      <c r="C1664" s="70"/>
      <c r="D1664" s="70"/>
      <c r="E1664" s="71"/>
      <c r="F1664" s="73"/>
      <c r="G1664" s="73"/>
      <c r="H1664" s="70"/>
      <c r="I1664" s="72"/>
      <c r="J1664" s="72"/>
      <c r="K1664" s="72"/>
    </row>
    <row r="1665" spans="3:11" x14ac:dyDescent="0.25">
      <c r="C1665" s="70"/>
      <c r="D1665" s="70"/>
      <c r="E1665" s="71"/>
      <c r="F1665" s="73"/>
      <c r="G1665" s="73"/>
      <c r="H1665" s="70"/>
      <c r="I1665" s="72"/>
      <c r="J1665" s="72"/>
      <c r="K1665" s="72"/>
    </row>
    <row r="1666" spans="3:11" x14ac:dyDescent="0.25">
      <c r="C1666" s="70"/>
      <c r="D1666" s="70"/>
      <c r="E1666" s="71"/>
      <c r="F1666" s="73"/>
      <c r="G1666" s="73"/>
      <c r="H1666" s="70"/>
      <c r="I1666" s="72"/>
      <c r="J1666" s="72"/>
      <c r="K1666" s="72"/>
    </row>
    <row r="1667" spans="3:11" x14ac:dyDescent="0.25">
      <c r="C1667" s="70"/>
      <c r="D1667" s="70"/>
      <c r="E1667" s="71"/>
      <c r="F1667" s="73"/>
      <c r="G1667" s="73"/>
      <c r="H1667" s="70"/>
      <c r="I1667" s="72"/>
      <c r="J1667" s="72"/>
      <c r="K1667" s="72"/>
    </row>
    <row r="1668" spans="3:11" x14ac:dyDescent="0.25">
      <c r="C1668" s="70"/>
      <c r="D1668" s="70"/>
      <c r="E1668" s="71"/>
      <c r="F1668" s="73"/>
      <c r="G1668" s="73"/>
      <c r="H1668" s="70"/>
      <c r="I1668" s="72"/>
      <c r="J1668" s="72"/>
      <c r="K1668" s="72"/>
    </row>
    <row r="1669" spans="3:11" x14ac:dyDescent="0.25">
      <c r="C1669" s="70"/>
      <c r="D1669" s="70"/>
      <c r="E1669" s="71"/>
      <c r="F1669" s="73"/>
      <c r="G1669" s="73"/>
      <c r="H1669" s="70"/>
      <c r="I1669" s="72"/>
      <c r="J1669" s="72"/>
      <c r="K1669" s="72"/>
    </row>
    <row r="1670" spans="3:11" x14ac:dyDescent="0.25">
      <c r="C1670" s="70"/>
      <c r="D1670" s="70"/>
      <c r="E1670" s="71"/>
      <c r="F1670" s="73"/>
      <c r="G1670" s="73"/>
      <c r="H1670" s="70"/>
      <c r="I1670" s="72"/>
      <c r="J1670" s="72"/>
      <c r="K1670" s="72"/>
    </row>
  </sheetData>
  <mergeCells count="11">
    <mergeCell ref="F1:H1"/>
    <mergeCell ref="I1:K1"/>
    <mergeCell ref="N1:N2"/>
    <mergeCell ref="O1:O2"/>
    <mergeCell ref="A1:A2"/>
    <mergeCell ref="B1:B2"/>
    <mergeCell ref="C1:C2"/>
    <mergeCell ref="D1:D2"/>
    <mergeCell ref="E1:E2"/>
    <mergeCell ref="M1:M2"/>
    <mergeCell ref="L1:L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D6EF8-166E-4AD5-89B7-2BC7A7C0689E}">
  <sheetPr>
    <tabColor rgb="FF00B0F0"/>
  </sheetPr>
  <dimension ref="A1:V106"/>
  <sheetViews>
    <sheetView workbookViewId="0">
      <selection activeCell="F2" sqref="F2:K2"/>
    </sheetView>
  </sheetViews>
  <sheetFormatPr defaultRowHeight="15.75" x14ac:dyDescent="0.25"/>
  <cols>
    <col min="1" max="1" width="13.7109375" style="186" customWidth="1"/>
    <col min="2" max="15" width="13.7109375" customWidth="1"/>
    <col min="16" max="16" width="11.7109375" style="7" customWidth="1"/>
    <col min="17" max="18" width="13.7109375" style="7" customWidth="1"/>
    <col min="19" max="19" width="8.85546875" style="7" customWidth="1"/>
    <col min="20" max="20" width="10" style="9" hidden="1" customWidth="1"/>
    <col min="21" max="21" width="9.140625" style="9" hidden="1" customWidth="1"/>
    <col min="22" max="22" width="0" style="9" hidden="1" customWidth="1"/>
  </cols>
  <sheetData>
    <row r="1" spans="1:22" ht="17.25" customHeight="1" thickBot="1" x14ac:dyDescent="0.3">
      <c r="A1" s="223" t="s">
        <v>1</v>
      </c>
      <c r="B1" s="223" t="s">
        <v>2</v>
      </c>
      <c r="C1" s="223" t="s">
        <v>0</v>
      </c>
      <c r="D1" s="225" t="s">
        <v>7</v>
      </c>
      <c r="E1" s="227" t="s">
        <v>26</v>
      </c>
      <c r="F1" s="230" t="s">
        <v>5</v>
      </c>
      <c r="G1" s="230"/>
      <c r="H1" s="230"/>
      <c r="I1" s="230" t="s">
        <v>30</v>
      </c>
      <c r="J1" s="230"/>
      <c r="K1" s="230"/>
      <c r="L1" s="217" t="s">
        <v>29</v>
      </c>
      <c r="M1" s="219" t="s">
        <v>20</v>
      </c>
      <c r="N1" s="219" t="s">
        <v>21</v>
      </c>
      <c r="O1" s="221" t="s">
        <v>23</v>
      </c>
      <c r="P1" s="10"/>
      <c r="Q1" s="150" t="s">
        <v>6</v>
      </c>
      <c r="R1" s="11">
        <f>SUM(R3+R4+R5)</f>
        <v>0</v>
      </c>
      <c r="S1" s="88"/>
      <c r="T1" s="171" t="s">
        <v>3</v>
      </c>
      <c r="U1" s="171" t="s">
        <v>4</v>
      </c>
      <c r="V1" s="172" t="s">
        <v>27</v>
      </c>
    </row>
    <row r="2" spans="1:22" x14ac:dyDescent="0.25">
      <c r="A2" s="219"/>
      <c r="B2" s="224"/>
      <c r="C2" s="224"/>
      <c r="D2" s="226"/>
      <c r="E2" s="228"/>
      <c r="F2" s="152" t="s">
        <v>174</v>
      </c>
      <c r="G2" s="152" t="s">
        <v>32</v>
      </c>
      <c r="H2" s="152" t="s">
        <v>31</v>
      </c>
      <c r="I2" s="152" t="s">
        <v>174</v>
      </c>
      <c r="J2" s="152" t="s">
        <v>8</v>
      </c>
      <c r="K2" s="152" t="s">
        <v>22</v>
      </c>
      <c r="L2" s="218"/>
      <c r="M2" s="229"/>
      <c r="N2" s="220"/>
      <c r="O2" s="222"/>
      <c r="P2" s="12"/>
      <c r="Q2" s="12"/>
      <c r="R2" s="12"/>
      <c r="S2" s="88"/>
      <c r="T2" s="8">
        <f>SUM(T3:T105)</f>
        <v>0</v>
      </c>
      <c r="U2" s="8">
        <f>SUM(U3:U105)</f>
        <v>0</v>
      </c>
      <c r="V2" s="8">
        <f>SUM(V3:V105)</f>
        <v>0</v>
      </c>
    </row>
    <row r="3" spans="1:22" x14ac:dyDescent="0.25">
      <c r="A3" s="167">
        <v>45154</v>
      </c>
      <c r="B3" s="153"/>
      <c r="C3" s="153"/>
      <c r="D3" s="183"/>
      <c r="E3" s="166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0"/>
      <c r="Q3" s="176" t="s">
        <v>11</v>
      </c>
      <c r="R3" s="166">
        <f>SUM(L3:L105)</f>
        <v>0</v>
      </c>
      <c r="S3" s="88"/>
      <c r="T3" s="9">
        <f>COUNTIF(E3,"SSB")</f>
        <v>0</v>
      </c>
      <c r="U3" s="9">
        <f>COUNTIF(E3,"CW")</f>
        <v>0</v>
      </c>
      <c r="V3" s="9">
        <f>COUNTIF(E3,"RTTY")</f>
        <v>0</v>
      </c>
    </row>
    <row r="4" spans="1:22" x14ac:dyDescent="0.25">
      <c r="A4" s="167">
        <v>45154</v>
      </c>
      <c r="B4" s="155"/>
      <c r="C4" s="156"/>
      <c r="D4" s="184"/>
      <c r="E4" s="166"/>
      <c r="F4" s="151"/>
      <c r="G4" s="151"/>
      <c r="H4" s="151"/>
      <c r="I4" s="154"/>
      <c r="J4" s="154"/>
      <c r="K4" s="154"/>
      <c r="L4" s="154"/>
      <c r="M4" s="154"/>
      <c r="N4" s="154"/>
      <c r="O4" s="154"/>
      <c r="P4" s="157"/>
      <c r="Q4" s="176" t="s">
        <v>17</v>
      </c>
      <c r="R4" s="166">
        <f>SUM(M3:M105)</f>
        <v>0</v>
      </c>
      <c r="S4" s="88"/>
      <c r="T4" s="9">
        <f t="shared" ref="T4:T67" si="0">COUNTIF(E4,"SSB")</f>
        <v>0</v>
      </c>
      <c r="U4" s="9">
        <f t="shared" ref="U4:U67" si="1">COUNTIF(E4,"CW")</f>
        <v>0</v>
      </c>
      <c r="V4" s="9">
        <f t="shared" ref="V4:V67" si="2">COUNTIF(E4,"RTTY")</f>
        <v>0</v>
      </c>
    </row>
    <row r="5" spans="1:22" x14ac:dyDescent="0.25">
      <c r="A5" s="167">
        <v>45154</v>
      </c>
      <c r="B5" s="155"/>
      <c r="C5" s="156"/>
      <c r="D5" s="184"/>
      <c r="E5" s="166"/>
      <c r="F5" s="151"/>
      <c r="G5" s="151"/>
      <c r="H5" s="151"/>
      <c r="I5" s="154"/>
      <c r="J5" s="154"/>
      <c r="K5" s="154"/>
      <c r="L5" s="154"/>
      <c r="M5" s="154"/>
      <c r="N5" s="154"/>
      <c r="O5" s="154"/>
      <c r="P5" s="157"/>
      <c r="Q5" s="177" t="s">
        <v>16</v>
      </c>
      <c r="R5" s="158">
        <f>SUM(N3:N105)</f>
        <v>0</v>
      </c>
      <c r="S5" s="88"/>
      <c r="T5" s="9">
        <f t="shared" si="0"/>
        <v>0</v>
      </c>
      <c r="U5" s="9">
        <f t="shared" si="1"/>
        <v>0</v>
      </c>
      <c r="V5" s="9">
        <f t="shared" si="2"/>
        <v>0</v>
      </c>
    </row>
    <row r="6" spans="1:22" x14ac:dyDescent="0.25">
      <c r="A6" s="167">
        <v>45154</v>
      </c>
      <c r="B6" s="155"/>
      <c r="C6" s="156"/>
      <c r="D6" s="184"/>
      <c r="E6" s="166"/>
      <c r="F6" s="151"/>
      <c r="G6" s="151"/>
      <c r="H6" s="151"/>
      <c r="I6" s="154"/>
      <c r="J6" s="154"/>
      <c r="K6" s="154"/>
      <c r="L6" s="154"/>
      <c r="M6" s="154"/>
      <c r="N6" s="154"/>
      <c r="O6" s="154"/>
      <c r="P6" s="157"/>
      <c r="Q6" s="170"/>
      <c r="R6" s="173"/>
      <c r="S6" s="88"/>
      <c r="T6" s="9">
        <f t="shared" si="0"/>
        <v>0</v>
      </c>
      <c r="U6" s="9">
        <f t="shared" si="1"/>
        <v>0</v>
      </c>
      <c r="V6" s="9">
        <f t="shared" si="2"/>
        <v>0</v>
      </c>
    </row>
    <row r="7" spans="1:22" x14ac:dyDescent="0.25">
      <c r="A7" s="167">
        <v>45154</v>
      </c>
      <c r="B7" s="155"/>
      <c r="C7" s="156"/>
      <c r="D7" s="184"/>
      <c r="E7" s="166"/>
      <c r="F7" s="151"/>
      <c r="G7" s="151"/>
      <c r="H7" s="151"/>
      <c r="I7" s="154"/>
      <c r="J7" s="154"/>
      <c r="K7" s="154"/>
      <c r="L7" s="154"/>
      <c r="M7" s="154"/>
      <c r="N7" s="154"/>
      <c r="O7" s="154"/>
      <c r="P7" s="157"/>
      <c r="Q7" s="150" t="s">
        <v>9</v>
      </c>
      <c r="R7" s="168">
        <f>T2</f>
        <v>0</v>
      </c>
      <c r="S7" s="88"/>
      <c r="T7" s="9">
        <f t="shared" si="0"/>
        <v>0</v>
      </c>
      <c r="U7" s="9">
        <f t="shared" si="1"/>
        <v>0</v>
      </c>
      <c r="V7" s="9">
        <f t="shared" si="2"/>
        <v>0</v>
      </c>
    </row>
    <row r="8" spans="1:22" x14ac:dyDescent="0.25">
      <c r="A8" s="167">
        <v>45154</v>
      </c>
      <c r="B8" s="155"/>
      <c r="C8" s="156"/>
      <c r="D8" s="184"/>
      <c r="E8" s="166"/>
      <c r="F8" s="151"/>
      <c r="G8" s="151"/>
      <c r="H8" s="151"/>
      <c r="I8" s="154"/>
      <c r="J8" s="154"/>
      <c r="K8" s="154"/>
      <c r="L8" s="154"/>
      <c r="M8" s="154"/>
      <c r="N8" s="154"/>
      <c r="O8" s="154"/>
      <c r="P8" s="157"/>
      <c r="Q8" s="150" t="s">
        <v>10</v>
      </c>
      <c r="R8" s="168">
        <f>U2</f>
        <v>0</v>
      </c>
      <c r="S8" s="88"/>
      <c r="T8" s="9">
        <f t="shared" si="0"/>
        <v>0</v>
      </c>
      <c r="U8" s="9">
        <f t="shared" si="1"/>
        <v>0</v>
      </c>
      <c r="V8" s="9">
        <f t="shared" si="2"/>
        <v>0</v>
      </c>
    </row>
    <row r="9" spans="1:22" x14ac:dyDescent="0.25">
      <c r="A9" s="167">
        <v>45154</v>
      </c>
      <c r="B9" s="155"/>
      <c r="C9" s="156"/>
      <c r="D9" s="184"/>
      <c r="E9" s="154"/>
      <c r="F9" s="151"/>
      <c r="G9" s="151"/>
      <c r="H9" s="151"/>
      <c r="I9" s="154"/>
      <c r="J9" s="154"/>
      <c r="K9" s="154"/>
      <c r="L9" s="154"/>
      <c r="M9" s="154"/>
      <c r="N9" s="154"/>
      <c r="O9" s="154"/>
      <c r="P9" s="157"/>
      <c r="Q9" s="178" t="s">
        <v>28</v>
      </c>
      <c r="R9" s="175">
        <f>V2</f>
        <v>0</v>
      </c>
      <c r="S9" s="88"/>
      <c r="T9" s="9">
        <f t="shared" si="0"/>
        <v>0</v>
      </c>
      <c r="U9" s="9">
        <f t="shared" si="1"/>
        <v>0</v>
      </c>
      <c r="V9" s="9">
        <f t="shared" si="2"/>
        <v>0</v>
      </c>
    </row>
    <row r="10" spans="1:22" ht="15.75" customHeight="1" x14ac:dyDescent="0.25">
      <c r="A10" s="167">
        <v>45154</v>
      </c>
      <c r="B10" s="155"/>
      <c r="C10" s="156"/>
      <c r="D10" s="184"/>
      <c r="E10" s="154"/>
      <c r="F10" s="151"/>
      <c r="G10" s="151"/>
      <c r="H10" s="151"/>
      <c r="I10" s="154"/>
      <c r="J10" s="154"/>
      <c r="K10" s="154"/>
      <c r="L10" s="154"/>
      <c r="M10" s="154"/>
      <c r="N10" s="154"/>
      <c r="O10" s="154"/>
      <c r="P10" s="157"/>
      <c r="Q10" s="179"/>
      <c r="R10" s="159"/>
      <c r="S10" s="88"/>
      <c r="T10" s="9">
        <f t="shared" si="0"/>
        <v>0</v>
      </c>
      <c r="U10" s="9">
        <f t="shared" si="1"/>
        <v>0</v>
      </c>
      <c r="V10" s="9">
        <f t="shared" si="2"/>
        <v>0</v>
      </c>
    </row>
    <row r="11" spans="1:22" x14ac:dyDescent="0.25">
      <c r="A11" s="167">
        <v>45154</v>
      </c>
      <c r="B11" s="155"/>
      <c r="C11" s="156"/>
      <c r="D11" s="184"/>
      <c r="E11" s="154"/>
      <c r="F11" s="151"/>
      <c r="G11" s="151"/>
      <c r="H11" s="151"/>
      <c r="I11" s="154"/>
      <c r="J11" s="154"/>
      <c r="K11" s="154"/>
      <c r="L11" s="154"/>
      <c r="M11" s="154"/>
      <c r="N11" s="154"/>
      <c r="O11" s="154"/>
      <c r="P11" s="157"/>
      <c r="Q11" s="180" t="s">
        <v>24</v>
      </c>
      <c r="R11" s="169"/>
      <c r="S11" s="88"/>
      <c r="T11" s="9">
        <f t="shared" si="0"/>
        <v>0</v>
      </c>
      <c r="U11" s="9">
        <f t="shared" si="1"/>
        <v>0</v>
      </c>
      <c r="V11" s="9">
        <f t="shared" si="2"/>
        <v>0</v>
      </c>
    </row>
    <row r="12" spans="1:22" x14ac:dyDescent="0.25">
      <c r="A12" s="167">
        <v>45154</v>
      </c>
      <c r="B12" s="155"/>
      <c r="C12" s="156"/>
      <c r="D12" s="184"/>
      <c r="E12" s="154"/>
      <c r="F12" s="151"/>
      <c r="G12" s="151"/>
      <c r="H12" s="151"/>
      <c r="I12" s="154"/>
      <c r="J12" s="154"/>
      <c r="K12" s="154"/>
      <c r="L12" s="154"/>
      <c r="M12" s="154"/>
      <c r="N12" s="154"/>
      <c r="O12" s="154"/>
      <c r="P12" s="157"/>
      <c r="Q12" s="170" t="s">
        <v>25</v>
      </c>
      <c r="R12" s="169"/>
      <c r="S12" s="88"/>
      <c r="T12" s="9">
        <f t="shared" si="0"/>
        <v>0</v>
      </c>
      <c r="U12" s="9">
        <f t="shared" si="1"/>
        <v>0</v>
      </c>
      <c r="V12" s="9">
        <f t="shared" si="2"/>
        <v>0</v>
      </c>
    </row>
    <row r="13" spans="1:22" x14ac:dyDescent="0.25">
      <c r="A13" s="167">
        <v>45154</v>
      </c>
      <c r="B13" s="155"/>
      <c r="C13" s="156"/>
      <c r="D13" s="184"/>
      <c r="E13" s="154"/>
      <c r="F13" s="151"/>
      <c r="G13" s="151"/>
      <c r="H13" s="151"/>
      <c r="I13" s="154"/>
      <c r="J13" s="154"/>
      <c r="K13" s="154"/>
      <c r="L13" s="154"/>
      <c r="M13" s="154"/>
      <c r="N13" s="154"/>
      <c r="O13" s="154"/>
      <c r="P13" s="157"/>
      <c r="Q13" s="181" t="s">
        <v>19</v>
      </c>
      <c r="R13" s="88"/>
      <c r="S13" s="88"/>
      <c r="T13" s="9">
        <f t="shared" si="0"/>
        <v>0</v>
      </c>
      <c r="U13" s="9">
        <f t="shared" si="1"/>
        <v>0</v>
      </c>
      <c r="V13" s="9">
        <f t="shared" si="2"/>
        <v>0</v>
      </c>
    </row>
    <row r="14" spans="1:22" x14ac:dyDescent="0.25">
      <c r="A14" s="167">
        <v>45154</v>
      </c>
      <c r="B14" s="155"/>
      <c r="C14" s="156"/>
      <c r="D14" s="184"/>
      <c r="E14" s="154"/>
      <c r="F14" s="151"/>
      <c r="G14" s="151"/>
      <c r="H14" s="151"/>
      <c r="I14" s="154"/>
      <c r="J14" s="154"/>
      <c r="K14" s="154"/>
      <c r="L14" s="154"/>
      <c r="M14" s="154"/>
      <c r="N14" s="154"/>
      <c r="O14" s="154"/>
      <c r="P14" s="157"/>
      <c r="Q14" s="181" t="s">
        <v>18</v>
      </c>
      <c r="R14" s="160"/>
      <c r="S14"/>
      <c r="T14" s="9">
        <f t="shared" si="0"/>
        <v>0</v>
      </c>
      <c r="U14" s="9">
        <f t="shared" si="1"/>
        <v>0</v>
      </c>
      <c r="V14" s="9">
        <f t="shared" si="2"/>
        <v>0</v>
      </c>
    </row>
    <row r="15" spans="1:22" x14ac:dyDescent="0.25">
      <c r="A15" s="167">
        <v>45154</v>
      </c>
      <c r="B15" s="155"/>
      <c r="C15" s="156"/>
      <c r="D15" s="184"/>
      <c r="E15" s="154"/>
      <c r="F15" s="151"/>
      <c r="G15" s="151"/>
      <c r="H15" s="151"/>
      <c r="I15" s="154"/>
      <c r="J15" s="154"/>
      <c r="K15" s="154"/>
      <c r="L15" s="154"/>
      <c r="M15" s="154"/>
      <c r="N15" s="154"/>
      <c r="O15" s="154"/>
      <c r="P15" s="157"/>
      <c r="Q15" s="160"/>
      <c r="R15" s="160"/>
      <c r="S15"/>
      <c r="T15" s="9">
        <f t="shared" si="0"/>
        <v>0</v>
      </c>
      <c r="U15" s="9">
        <f t="shared" si="1"/>
        <v>0</v>
      </c>
      <c r="V15" s="9">
        <f t="shared" si="2"/>
        <v>0</v>
      </c>
    </row>
    <row r="16" spans="1:22" x14ac:dyDescent="0.25">
      <c r="A16" s="167">
        <v>45154</v>
      </c>
      <c r="B16" s="155"/>
      <c r="C16" s="156"/>
      <c r="D16" s="184"/>
      <c r="E16" s="154"/>
      <c r="F16" s="151"/>
      <c r="G16" s="151"/>
      <c r="H16" s="151"/>
      <c r="I16" s="154"/>
      <c r="J16" s="154"/>
      <c r="K16" s="154"/>
      <c r="L16" s="154"/>
      <c r="M16" s="154"/>
      <c r="N16" s="154"/>
      <c r="O16" s="154"/>
      <c r="P16" s="157"/>
      <c r="Q16" s="160"/>
      <c r="R16" s="160"/>
      <c r="S16"/>
      <c r="T16" s="9">
        <f t="shared" si="0"/>
        <v>0</v>
      </c>
      <c r="U16" s="9">
        <f t="shared" si="1"/>
        <v>0</v>
      </c>
      <c r="V16" s="9">
        <f t="shared" si="2"/>
        <v>0</v>
      </c>
    </row>
    <row r="17" spans="1:22" x14ac:dyDescent="0.25">
      <c r="A17" s="167">
        <v>45154</v>
      </c>
      <c r="B17" s="155"/>
      <c r="C17" s="156"/>
      <c r="D17" s="184"/>
      <c r="E17" s="154"/>
      <c r="F17" s="151"/>
      <c r="G17" s="151"/>
      <c r="H17" s="151"/>
      <c r="I17" s="154"/>
      <c r="J17" s="154"/>
      <c r="K17" s="154"/>
      <c r="L17" s="154"/>
      <c r="M17" s="154"/>
      <c r="N17" s="154"/>
      <c r="O17" s="154"/>
      <c r="P17" s="157"/>
      <c r="Q17" s="157"/>
      <c r="R17" s="161"/>
      <c r="S17"/>
      <c r="T17" s="9">
        <f t="shared" si="0"/>
        <v>0</v>
      </c>
      <c r="U17" s="9">
        <f t="shared" si="1"/>
        <v>0</v>
      </c>
      <c r="V17" s="9">
        <f t="shared" si="2"/>
        <v>0</v>
      </c>
    </row>
    <row r="18" spans="1:22" x14ac:dyDescent="0.25">
      <c r="A18" s="167">
        <v>45154</v>
      </c>
      <c r="B18" s="155"/>
      <c r="C18" s="156"/>
      <c r="D18" s="184"/>
      <c r="E18" s="154"/>
      <c r="F18" s="151"/>
      <c r="G18" s="151"/>
      <c r="H18" s="151"/>
      <c r="I18" s="154"/>
      <c r="J18" s="154"/>
      <c r="K18" s="154"/>
      <c r="L18" s="154"/>
      <c r="M18" s="154"/>
      <c r="N18" s="154"/>
      <c r="O18" s="154"/>
      <c r="P18" s="157"/>
      <c r="Q18" s="157"/>
      <c r="R18" s="161"/>
      <c r="S18"/>
      <c r="T18" s="9">
        <f t="shared" si="0"/>
        <v>0</v>
      </c>
      <c r="U18" s="9">
        <f t="shared" si="1"/>
        <v>0</v>
      </c>
      <c r="V18" s="9">
        <f t="shared" si="2"/>
        <v>0</v>
      </c>
    </row>
    <row r="19" spans="1:22" x14ac:dyDescent="0.25">
      <c r="A19" s="167">
        <v>45154</v>
      </c>
      <c r="B19" s="155"/>
      <c r="C19" s="156"/>
      <c r="D19" s="184"/>
      <c r="E19" s="154"/>
      <c r="F19" s="151"/>
      <c r="G19" s="151"/>
      <c r="H19" s="151"/>
      <c r="I19" s="154"/>
      <c r="J19" s="154"/>
      <c r="K19" s="154"/>
      <c r="L19" s="154"/>
      <c r="M19" s="154"/>
      <c r="N19" s="154"/>
      <c r="O19" s="154"/>
      <c r="P19" s="157"/>
      <c r="Q19" s="157"/>
      <c r="R19" s="161"/>
      <c r="S19"/>
      <c r="T19" s="9">
        <f t="shared" si="0"/>
        <v>0</v>
      </c>
      <c r="U19" s="9">
        <f t="shared" si="1"/>
        <v>0</v>
      </c>
      <c r="V19" s="9">
        <f t="shared" si="2"/>
        <v>0</v>
      </c>
    </row>
    <row r="20" spans="1:22" x14ac:dyDescent="0.25">
      <c r="A20" s="167">
        <v>45154</v>
      </c>
      <c r="B20" s="155"/>
      <c r="C20" s="156"/>
      <c r="D20" s="184"/>
      <c r="E20" s="154"/>
      <c r="F20" s="151"/>
      <c r="G20" s="151"/>
      <c r="H20" s="151"/>
      <c r="I20" s="154"/>
      <c r="J20" s="154"/>
      <c r="K20" s="154"/>
      <c r="L20" s="154"/>
      <c r="M20" s="154"/>
      <c r="N20" s="154"/>
      <c r="O20" s="154"/>
      <c r="P20" s="157"/>
      <c r="Q20" s="157"/>
      <c r="R20" s="161"/>
      <c r="S20"/>
      <c r="T20" s="9">
        <f t="shared" si="0"/>
        <v>0</v>
      </c>
      <c r="U20" s="9">
        <f t="shared" si="1"/>
        <v>0</v>
      </c>
      <c r="V20" s="9">
        <f t="shared" si="2"/>
        <v>0</v>
      </c>
    </row>
    <row r="21" spans="1:22" x14ac:dyDescent="0.25">
      <c r="A21" s="167">
        <v>45154</v>
      </c>
      <c r="B21" s="155"/>
      <c r="C21" s="156"/>
      <c r="D21" s="184"/>
      <c r="E21" s="154"/>
      <c r="F21" s="151"/>
      <c r="G21" s="151"/>
      <c r="H21" s="151"/>
      <c r="I21" s="154"/>
      <c r="J21" s="154"/>
      <c r="K21" s="154"/>
      <c r="L21" s="154"/>
      <c r="M21" s="154"/>
      <c r="N21" s="154"/>
      <c r="O21" s="154"/>
      <c r="P21" s="157"/>
      <c r="Q21" s="88"/>
      <c r="R21" s="88"/>
      <c r="S21"/>
      <c r="T21" s="9">
        <f t="shared" si="0"/>
        <v>0</v>
      </c>
      <c r="U21" s="9">
        <f t="shared" si="1"/>
        <v>0</v>
      </c>
      <c r="V21" s="9">
        <f t="shared" si="2"/>
        <v>0</v>
      </c>
    </row>
    <row r="22" spans="1:22" x14ac:dyDescent="0.25">
      <c r="A22" s="167">
        <v>45154</v>
      </c>
      <c r="B22" s="155"/>
      <c r="C22" s="156"/>
      <c r="D22" s="184"/>
      <c r="E22" s="154"/>
      <c r="F22" s="151"/>
      <c r="G22" s="151"/>
      <c r="H22" s="151"/>
      <c r="I22" s="154"/>
      <c r="J22" s="154"/>
      <c r="K22" s="154"/>
      <c r="L22" s="154"/>
      <c r="M22" s="154"/>
      <c r="N22" s="154"/>
      <c r="O22" s="154"/>
      <c r="P22" s="157"/>
      <c r="Q22" s="88"/>
      <c r="R22" s="88"/>
      <c r="S22"/>
      <c r="T22" s="9">
        <f t="shared" si="0"/>
        <v>0</v>
      </c>
      <c r="U22" s="9">
        <f t="shared" si="1"/>
        <v>0</v>
      </c>
      <c r="V22" s="9">
        <f t="shared" si="2"/>
        <v>0</v>
      </c>
    </row>
    <row r="23" spans="1:22" x14ac:dyDescent="0.25">
      <c r="A23" s="167">
        <v>45154</v>
      </c>
      <c r="B23" s="155"/>
      <c r="C23" s="156"/>
      <c r="D23" s="184"/>
      <c r="E23" s="154"/>
      <c r="F23" s="151"/>
      <c r="G23" s="151"/>
      <c r="H23" s="151"/>
      <c r="I23" s="154"/>
      <c r="J23" s="154"/>
      <c r="K23" s="154"/>
      <c r="L23" s="154"/>
      <c r="M23" s="154"/>
      <c r="N23" s="154"/>
      <c r="O23" s="154"/>
      <c r="P23" s="157"/>
      <c r="Q23" s="88"/>
      <c r="R23" s="88"/>
      <c r="S23"/>
      <c r="T23" s="9">
        <f t="shared" si="0"/>
        <v>0</v>
      </c>
      <c r="U23" s="9">
        <f t="shared" si="1"/>
        <v>0</v>
      </c>
      <c r="V23" s="9">
        <f t="shared" si="2"/>
        <v>0</v>
      </c>
    </row>
    <row r="24" spans="1:22" x14ac:dyDescent="0.25">
      <c r="A24" s="167">
        <v>45154</v>
      </c>
      <c r="B24" s="155"/>
      <c r="C24" s="156"/>
      <c r="D24" s="184"/>
      <c r="E24" s="154"/>
      <c r="F24" s="151"/>
      <c r="G24" s="151"/>
      <c r="H24" s="151"/>
      <c r="I24" s="154"/>
      <c r="J24" s="154"/>
      <c r="K24" s="154"/>
      <c r="L24" s="154"/>
      <c r="M24" s="154"/>
      <c r="N24" s="154"/>
      <c r="O24" s="154"/>
      <c r="P24" s="157"/>
      <c r="Q24" s="88"/>
      <c r="R24" s="88"/>
      <c r="S24"/>
      <c r="T24" s="9">
        <f t="shared" si="0"/>
        <v>0</v>
      </c>
      <c r="U24" s="9">
        <f t="shared" si="1"/>
        <v>0</v>
      </c>
      <c r="V24" s="9">
        <f t="shared" si="2"/>
        <v>0</v>
      </c>
    </row>
    <row r="25" spans="1:22" x14ac:dyDescent="0.25">
      <c r="A25" s="167">
        <v>45154</v>
      </c>
      <c r="B25" s="16"/>
      <c r="C25" s="6"/>
      <c r="D25" s="185"/>
      <c r="E25" s="15"/>
      <c r="F25" s="151"/>
      <c r="G25" s="151"/>
      <c r="H25" s="151"/>
      <c r="I25" s="15"/>
      <c r="J25" s="15"/>
      <c r="K25" s="15"/>
      <c r="L25" s="154"/>
      <c r="M25" s="15"/>
      <c r="N25" s="15"/>
      <c r="O25" s="15"/>
      <c r="Q25"/>
      <c r="R25"/>
      <c r="S25"/>
      <c r="T25" s="9">
        <f t="shared" si="0"/>
        <v>0</v>
      </c>
      <c r="U25" s="9">
        <f t="shared" si="1"/>
        <v>0</v>
      </c>
      <c r="V25" s="9">
        <f t="shared" si="2"/>
        <v>0</v>
      </c>
    </row>
    <row r="26" spans="1:22" x14ac:dyDescent="0.25">
      <c r="A26" s="167">
        <v>45154</v>
      </c>
      <c r="B26" s="16"/>
      <c r="C26" s="6"/>
      <c r="D26" s="185"/>
      <c r="E26" s="15"/>
      <c r="F26" s="151"/>
      <c r="G26" s="151"/>
      <c r="H26" s="151"/>
      <c r="I26" s="15"/>
      <c r="J26" s="15"/>
      <c r="K26" s="15"/>
      <c r="L26" s="154"/>
      <c r="M26" s="15"/>
      <c r="N26" s="15"/>
      <c r="O26" s="15"/>
      <c r="Q26"/>
      <c r="R26"/>
      <c r="S26"/>
      <c r="T26" s="9">
        <f t="shared" si="0"/>
        <v>0</v>
      </c>
      <c r="U26" s="9">
        <f t="shared" si="1"/>
        <v>0</v>
      </c>
      <c r="V26" s="9">
        <f t="shared" si="2"/>
        <v>0</v>
      </c>
    </row>
    <row r="27" spans="1:22" x14ac:dyDescent="0.25">
      <c r="A27" s="167">
        <v>45154</v>
      </c>
      <c r="B27" s="16"/>
      <c r="C27" s="6"/>
      <c r="D27" s="185"/>
      <c r="E27" s="15"/>
      <c r="F27" s="151"/>
      <c r="G27" s="151"/>
      <c r="H27" s="151"/>
      <c r="I27" s="15"/>
      <c r="J27" s="15"/>
      <c r="K27" s="15"/>
      <c r="L27" s="154"/>
      <c r="M27" s="15"/>
      <c r="N27" s="15"/>
      <c r="O27" s="15"/>
      <c r="R27" s="5"/>
      <c r="S27"/>
      <c r="T27" s="9">
        <f t="shared" si="0"/>
        <v>0</v>
      </c>
      <c r="U27" s="9">
        <f t="shared" si="1"/>
        <v>0</v>
      </c>
      <c r="V27" s="9">
        <f t="shared" si="2"/>
        <v>0</v>
      </c>
    </row>
    <row r="28" spans="1:22" x14ac:dyDescent="0.25">
      <c r="A28" s="167">
        <v>45154</v>
      </c>
      <c r="B28" s="16"/>
      <c r="C28" s="6"/>
      <c r="D28" s="185"/>
      <c r="E28" s="15"/>
      <c r="F28" s="151"/>
      <c r="G28" s="151"/>
      <c r="H28" s="151"/>
      <c r="I28" s="15"/>
      <c r="J28" s="15"/>
      <c r="K28" s="15"/>
      <c r="L28" s="154"/>
      <c r="M28" s="15"/>
      <c r="N28" s="15"/>
      <c r="O28" s="15"/>
      <c r="R28" s="5"/>
      <c r="S28"/>
      <c r="T28" s="9">
        <f t="shared" si="0"/>
        <v>0</v>
      </c>
      <c r="U28" s="9">
        <f t="shared" si="1"/>
        <v>0</v>
      </c>
      <c r="V28" s="9">
        <f t="shared" si="2"/>
        <v>0</v>
      </c>
    </row>
    <row r="29" spans="1:22" x14ac:dyDescent="0.25">
      <c r="A29" s="167">
        <v>45154</v>
      </c>
      <c r="B29" s="14"/>
      <c r="C29" s="6"/>
      <c r="D29" s="185"/>
      <c r="E29" s="15"/>
      <c r="F29" s="151"/>
      <c r="G29" s="151"/>
      <c r="H29" s="151"/>
      <c r="I29" s="15"/>
      <c r="J29" s="15"/>
      <c r="K29" s="15"/>
      <c r="L29" s="154"/>
      <c r="M29" s="15"/>
      <c r="N29" s="15"/>
      <c r="O29" s="15"/>
      <c r="R29" s="5"/>
      <c r="S29"/>
      <c r="T29" s="9">
        <f t="shared" si="0"/>
        <v>0</v>
      </c>
      <c r="U29" s="9">
        <f t="shared" si="1"/>
        <v>0</v>
      </c>
      <c r="V29" s="9">
        <f t="shared" si="2"/>
        <v>0</v>
      </c>
    </row>
    <row r="30" spans="1:22" x14ac:dyDescent="0.25">
      <c r="A30" s="167">
        <v>45154</v>
      </c>
      <c r="B30" s="16"/>
      <c r="C30" s="6"/>
      <c r="D30" s="185"/>
      <c r="E30" s="15"/>
      <c r="F30" s="151"/>
      <c r="G30" s="151"/>
      <c r="H30" s="151"/>
      <c r="I30" s="15"/>
      <c r="J30" s="15"/>
      <c r="K30" s="15"/>
      <c r="L30" s="154"/>
      <c r="M30" s="15"/>
      <c r="N30" s="15"/>
      <c r="O30" s="15"/>
      <c r="R30" s="5"/>
      <c r="S30"/>
      <c r="T30" s="9">
        <f t="shared" si="0"/>
        <v>0</v>
      </c>
      <c r="U30" s="9">
        <f t="shared" si="1"/>
        <v>0</v>
      </c>
      <c r="V30" s="9">
        <f t="shared" si="2"/>
        <v>0</v>
      </c>
    </row>
    <row r="31" spans="1:22" x14ac:dyDescent="0.25">
      <c r="A31" s="167">
        <v>45154</v>
      </c>
      <c r="B31" s="16"/>
      <c r="C31" s="6"/>
      <c r="D31" s="185"/>
      <c r="E31" s="15"/>
      <c r="F31" s="151"/>
      <c r="G31" s="151"/>
      <c r="H31" s="151"/>
      <c r="I31" s="15"/>
      <c r="J31" s="15"/>
      <c r="K31" s="15"/>
      <c r="L31" s="15"/>
      <c r="M31" s="15"/>
      <c r="N31" s="15"/>
      <c r="O31" s="15"/>
      <c r="R31" s="5"/>
      <c r="S31"/>
      <c r="T31" s="9">
        <f t="shared" si="0"/>
        <v>0</v>
      </c>
      <c r="U31" s="9">
        <f t="shared" si="1"/>
        <v>0</v>
      </c>
      <c r="V31" s="9">
        <f t="shared" si="2"/>
        <v>0</v>
      </c>
    </row>
    <row r="32" spans="1:22" x14ac:dyDescent="0.25">
      <c r="A32" s="167">
        <v>45154</v>
      </c>
      <c r="B32" s="16"/>
      <c r="C32" s="6"/>
      <c r="D32" s="185"/>
      <c r="E32" s="15"/>
      <c r="F32" s="151"/>
      <c r="G32" s="151"/>
      <c r="H32" s="151"/>
      <c r="I32" s="15"/>
      <c r="J32" s="15"/>
      <c r="K32" s="15"/>
      <c r="L32" s="15"/>
      <c r="M32" s="15"/>
      <c r="N32" s="15"/>
      <c r="O32" s="15"/>
      <c r="R32" s="5"/>
      <c r="S32"/>
      <c r="T32" s="9">
        <f t="shared" si="0"/>
        <v>0</v>
      </c>
      <c r="U32" s="9">
        <f t="shared" si="1"/>
        <v>0</v>
      </c>
      <c r="V32" s="9">
        <f t="shared" si="2"/>
        <v>0</v>
      </c>
    </row>
    <row r="33" spans="1:22" x14ac:dyDescent="0.25">
      <c r="A33" s="167">
        <v>45154</v>
      </c>
      <c r="B33" s="16"/>
      <c r="C33" s="6"/>
      <c r="D33" s="185"/>
      <c r="E33" s="15"/>
      <c r="F33" s="151"/>
      <c r="G33" s="151"/>
      <c r="H33" s="151"/>
      <c r="I33" s="15"/>
      <c r="J33" s="15"/>
      <c r="K33" s="15"/>
      <c r="L33" s="15"/>
      <c r="M33" s="15"/>
      <c r="N33" s="15"/>
      <c r="O33" s="15"/>
      <c r="R33" s="5"/>
      <c r="S33"/>
      <c r="T33" s="9">
        <f t="shared" si="0"/>
        <v>0</v>
      </c>
      <c r="U33" s="9">
        <f t="shared" si="1"/>
        <v>0</v>
      </c>
      <c r="V33" s="9">
        <f t="shared" si="2"/>
        <v>0</v>
      </c>
    </row>
    <row r="34" spans="1:22" x14ac:dyDescent="0.25">
      <c r="A34" s="167">
        <v>45154</v>
      </c>
      <c r="B34" s="14"/>
      <c r="C34" s="6"/>
      <c r="D34" s="185"/>
      <c r="E34" s="15"/>
      <c r="F34" s="151"/>
      <c r="G34" s="151"/>
      <c r="H34" s="151"/>
      <c r="I34" s="15"/>
      <c r="J34" s="15"/>
      <c r="K34" s="15"/>
      <c r="L34" s="15"/>
      <c r="M34" s="15"/>
      <c r="N34" s="15"/>
      <c r="O34" s="15"/>
      <c r="R34" s="5"/>
      <c r="S34"/>
      <c r="T34" s="9">
        <f t="shared" si="0"/>
        <v>0</v>
      </c>
      <c r="U34" s="9">
        <f t="shared" si="1"/>
        <v>0</v>
      </c>
      <c r="V34" s="9">
        <f t="shared" si="2"/>
        <v>0</v>
      </c>
    </row>
    <row r="35" spans="1:22" x14ac:dyDescent="0.25">
      <c r="A35" s="167">
        <v>45154</v>
      </c>
      <c r="B35" s="16"/>
      <c r="C35" s="6"/>
      <c r="D35" s="185"/>
      <c r="E35" s="15"/>
      <c r="F35" s="151"/>
      <c r="G35" s="151"/>
      <c r="H35" s="151"/>
      <c r="I35" s="15"/>
      <c r="J35" s="15"/>
      <c r="K35" s="15"/>
      <c r="L35" s="15"/>
      <c r="M35" s="15"/>
      <c r="N35" s="15"/>
      <c r="O35" s="15"/>
      <c r="R35" s="5"/>
      <c r="S35"/>
      <c r="T35" s="9">
        <f t="shared" si="0"/>
        <v>0</v>
      </c>
      <c r="U35" s="9">
        <f t="shared" si="1"/>
        <v>0</v>
      </c>
      <c r="V35" s="9">
        <f t="shared" si="2"/>
        <v>0</v>
      </c>
    </row>
    <row r="36" spans="1:22" x14ac:dyDescent="0.25">
      <c r="A36" s="167">
        <v>45154</v>
      </c>
      <c r="B36" s="16"/>
      <c r="C36" s="6"/>
      <c r="D36" s="185"/>
      <c r="E36" s="15"/>
      <c r="F36" s="151"/>
      <c r="G36" s="151"/>
      <c r="H36" s="151"/>
      <c r="I36" s="15"/>
      <c r="J36" s="15"/>
      <c r="K36" s="15"/>
      <c r="L36" s="15"/>
      <c r="M36" s="15"/>
      <c r="N36" s="15"/>
      <c r="O36" s="15"/>
      <c r="R36" s="5"/>
      <c r="S36"/>
      <c r="T36" s="9">
        <f t="shared" si="0"/>
        <v>0</v>
      </c>
      <c r="U36" s="9">
        <f t="shared" si="1"/>
        <v>0</v>
      </c>
      <c r="V36" s="9">
        <f t="shared" si="2"/>
        <v>0</v>
      </c>
    </row>
    <row r="37" spans="1:22" x14ac:dyDescent="0.25">
      <c r="A37" s="167">
        <v>45154</v>
      </c>
      <c r="B37" s="16"/>
      <c r="C37" s="6"/>
      <c r="D37" s="185"/>
      <c r="E37" s="15"/>
      <c r="F37" s="151"/>
      <c r="G37" s="151"/>
      <c r="H37" s="151"/>
      <c r="I37" s="15"/>
      <c r="J37" s="15"/>
      <c r="K37" s="15"/>
      <c r="L37" s="15"/>
      <c r="M37" s="15"/>
      <c r="N37" s="15"/>
      <c r="O37" s="15"/>
      <c r="R37" s="5"/>
      <c r="S37"/>
      <c r="T37" s="9">
        <f t="shared" si="0"/>
        <v>0</v>
      </c>
      <c r="U37" s="9">
        <f t="shared" si="1"/>
        <v>0</v>
      </c>
      <c r="V37" s="9">
        <f t="shared" si="2"/>
        <v>0</v>
      </c>
    </row>
    <row r="38" spans="1:22" x14ac:dyDescent="0.25">
      <c r="A38" s="167">
        <v>45154</v>
      </c>
      <c r="B38" s="14"/>
      <c r="C38" s="6"/>
      <c r="D38" s="185"/>
      <c r="E38" s="15"/>
      <c r="F38" s="151"/>
      <c r="G38" s="151"/>
      <c r="H38" s="151"/>
      <c r="I38" s="15"/>
      <c r="J38" s="15"/>
      <c r="K38" s="15"/>
      <c r="L38" s="15"/>
      <c r="M38" s="15"/>
      <c r="N38" s="15"/>
      <c r="O38" s="15"/>
      <c r="R38" s="5"/>
      <c r="S38"/>
      <c r="T38" s="9">
        <f t="shared" si="0"/>
        <v>0</v>
      </c>
      <c r="U38" s="9">
        <f t="shared" si="1"/>
        <v>0</v>
      </c>
      <c r="V38" s="9">
        <f t="shared" si="2"/>
        <v>0</v>
      </c>
    </row>
    <row r="39" spans="1:22" x14ac:dyDescent="0.25">
      <c r="A39" s="167">
        <v>45154</v>
      </c>
      <c r="B39" s="16"/>
      <c r="C39" s="6"/>
      <c r="D39" s="185"/>
      <c r="E39" s="15"/>
      <c r="F39" s="151"/>
      <c r="G39" s="151"/>
      <c r="H39" s="151"/>
      <c r="I39" s="15"/>
      <c r="J39" s="15"/>
      <c r="K39" s="15"/>
      <c r="L39" s="15"/>
      <c r="M39" s="15"/>
      <c r="N39" s="15"/>
      <c r="O39" s="15"/>
      <c r="R39" s="5"/>
      <c r="S39"/>
      <c r="T39" s="9">
        <f t="shared" si="0"/>
        <v>0</v>
      </c>
      <c r="U39" s="9">
        <f t="shared" si="1"/>
        <v>0</v>
      </c>
      <c r="V39" s="9">
        <f t="shared" si="2"/>
        <v>0</v>
      </c>
    </row>
    <row r="40" spans="1:22" x14ac:dyDescent="0.25">
      <c r="A40" s="167">
        <v>45154</v>
      </c>
      <c r="B40" s="14"/>
      <c r="C40" s="6"/>
      <c r="D40" s="185"/>
      <c r="E40" s="15"/>
      <c r="F40" s="151"/>
      <c r="G40" s="151"/>
      <c r="H40" s="151"/>
      <c r="I40" s="15"/>
      <c r="J40" s="15"/>
      <c r="K40" s="15"/>
      <c r="L40" s="15"/>
      <c r="M40" s="15"/>
      <c r="N40" s="15"/>
      <c r="O40" s="15"/>
      <c r="R40" s="5"/>
      <c r="S40"/>
      <c r="T40" s="9">
        <f t="shared" si="0"/>
        <v>0</v>
      </c>
      <c r="U40" s="9">
        <f t="shared" si="1"/>
        <v>0</v>
      </c>
      <c r="V40" s="9">
        <f t="shared" si="2"/>
        <v>0</v>
      </c>
    </row>
    <row r="41" spans="1:22" x14ac:dyDescent="0.25">
      <c r="A41" s="167">
        <v>45154</v>
      </c>
      <c r="B41" s="16"/>
      <c r="C41" s="6"/>
      <c r="D41" s="185"/>
      <c r="E41" s="15"/>
      <c r="F41" s="151"/>
      <c r="G41" s="151"/>
      <c r="H41" s="151"/>
      <c r="I41" s="15"/>
      <c r="J41" s="15"/>
      <c r="K41" s="15"/>
      <c r="L41" s="15"/>
      <c r="M41" s="15"/>
      <c r="N41" s="15"/>
      <c r="O41" s="15"/>
      <c r="R41" s="5"/>
      <c r="S41"/>
      <c r="T41" s="9">
        <f t="shared" si="0"/>
        <v>0</v>
      </c>
      <c r="U41" s="9">
        <f t="shared" si="1"/>
        <v>0</v>
      </c>
      <c r="V41" s="9">
        <f t="shared" si="2"/>
        <v>0</v>
      </c>
    </row>
    <row r="42" spans="1:22" x14ac:dyDescent="0.25">
      <c r="A42" s="167">
        <v>45154</v>
      </c>
      <c r="B42" s="14"/>
      <c r="C42" s="6"/>
      <c r="D42" s="185"/>
      <c r="E42" s="15"/>
      <c r="F42" s="151"/>
      <c r="G42" s="151"/>
      <c r="H42" s="151"/>
      <c r="I42" s="15"/>
      <c r="J42" s="15"/>
      <c r="K42" s="15"/>
      <c r="L42" s="15"/>
      <c r="M42" s="15"/>
      <c r="N42" s="15"/>
      <c r="O42" s="15"/>
      <c r="R42" s="5"/>
      <c r="S42"/>
      <c r="T42" s="9">
        <f t="shared" si="0"/>
        <v>0</v>
      </c>
      <c r="U42" s="9">
        <f t="shared" si="1"/>
        <v>0</v>
      </c>
      <c r="V42" s="9">
        <f t="shared" si="2"/>
        <v>0</v>
      </c>
    </row>
    <row r="43" spans="1:22" x14ac:dyDescent="0.25">
      <c r="A43" s="167">
        <v>45154</v>
      </c>
      <c r="B43" s="16"/>
      <c r="C43" s="6"/>
      <c r="D43" s="185"/>
      <c r="E43" s="15"/>
      <c r="F43" s="151"/>
      <c r="G43" s="151"/>
      <c r="H43" s="151"/>
      <c r="I43" s="15"/>
      <c r="J43" s="15"/>
      <c r="K43" s="15"/>
      <c r="L43" s="15"/>
      <c r="M43" s="15"/>
      <c r="N43" s="15"/>
      <c r="O43" s="15"/>
      <c r="R43" s="5"/>
      <c r="S43"/>
      <c r="T43" s="9">
        <f t="shared" si="0"/>
        <v>0</v>
      </c>
      <c r="U43" s="9">
        <f t="shared" si="1"/>
        <v>0</v>
      </c>
      <c r="V43" s="9">
        <f t="shared" si="2"/>
        <v>0</v>
      </c>
    </row>
    <row r="44" spans="1:22" x14ac:dyDescent="0.25">
      <c r="A44" s="167">
        <v>45154</v>
      </c>
      <c r="B44" s="16"/>
      <c r="C44" s="6"/>
      <c r="D44" s="185"/>
      <c r="E44" s="15"/>
      <c r="F44" s="151"/>
      <c r="G44" s="151"/>
      <c r="H44" s="151"/>
      <c r="I44" s="15"/>
      <c r="J44" s="15"/>
      <c r="K44" s="15"/>
      <c r="L44" s="15"/>
      <c r="M44" s="15"/>
      <c r="N44" s="15"/>
      <c r="O44" s="15"/>
      <c r="R44" s="5"/>
      <c r="S44"/>
      <c r="T44" s="9">
        <f t="shared" si="0"/>
        <v>0</v>
      </c>
      <c r="U44" s="9">
        <f t="shared" si="1"/>
        <v>0</v>
      </c>
      <c r="V44" s="9">
        <f t="shared" si="2"/>
        <v>0</v>
      </c>
    </row>
    <row r="45" spans="1:22" x14ac:dyDescent="0.25">
      <c r="A45" s="167">
        <v>45154</v>
      </c>
      <c r="B45" s="14"/>
      <c r="C45" s="6"/>
      <c r="D45" s="185"/>
      <c r="E45" s="15"/>
      <c r="F45" s="151"/>
      <c r="G45" s="151"/>
      <c r="H45" s="151"/>
      <c r="I45" s="15"/>
      <c r="J45" s="15"/>
      <c r="K45" s="15"/>
      <c r="L45" s="15"/>
      <c r="M45" s="15"/>
      <c r="N45" s="15"/>
      <c r="O45" s="15"/>
      <c r="R45" s="5"/>
      <c r="S45"/>
      <c r="T45" s="9">
        <f t="shared" si="0"/>
        <v>0</v>
      </c>
      <c r="U45" s="9">
        <f t="shared" si="1"/>
        <v>0</v>
      </c>
      <c r="V45" s="9">
        <f t="shared" si="2"/>
        <v>0</v>
      </c>
    </row>
    <row r="46" spans="1:22" x14ac:dyDescent="0.25">
      <c r="A46" s="167">
        <v>45154</v>
      </c>
      <c r="B46" s="16"/>
      <c r="C46" s="6"/>
      <c r="D46" s="185"/>
      <c r="E46" s="15"/>
      <c r="F46" s="151"/>
      <c r="G46" s="151"/>
      <c r="H46" s="151"/>
      <c r="I46" s="15"/>
      <c r="J46" s="15"/>
      <c r="K46" s="15"/>
      <c r="L46" s="15"/>
      <c r="M46" s="15"/>
      <c r="N46" s="15"/>
      <c r="O46" s="15"/>
      <c r="R46" s="5"/>
      <c r="S46"/>
      <c r="T46" s="9">
        <f t="shared" si="0"/>
        <v>0</v>
      </c>
      <c r="U46" s="9">
        <f t="shared" si="1"/>
        <v>0</v>
      </c>
      <c r="V46" s="9">
        <f t="shared" si="2"/>
        <v>0</v>
      </c>
    </row>
    <row r="47" spans="1:22" x14ac:dyDescent="0.25">
      <c r="A47" s="167">
        <v>45154</v>
      </c>
      <c r="B47" s="16"/>
      <c r="C47" s="6"/>
      <c r="D47" s="185"/>
      <c r="E47" s="15"/>
      <c r="F47" s="151"/>
      <c r="G47" s="151"/>
      <c r="H47" s="151"/>
      <c r="I47" s="15"/>
      <c r="J47" s="15"/>
      <c r="K47" s="15"/>
      <c r="L47" s="15"/>
      <c r="M47" s="15"/>
      <c r="N47" s="15"/>
      <c r="O47" s="15"/>
      <c r="R47" s="5"/>
      <c r="S47"/>
      <c r="T47" s="9">
        <f t="shared" si="0"/>
        <v>0</v>
      </c>
      <c r="U47" s="9">
        <f t="shared" si="1"/>
        <v>0</v>
      </c>
      <c r="V47" s="9">
        <f t="shared" si="2"/>
        <v>0</v>
      </c>
    </row>
    <row r="48" spans="1:22" x14ac:dyDescent="0.25">
      <c r="A48" s="167">
        <v>45154</v>
      </c>
      <c r="B48" s="16"/>
      <c r="C48" s="6"/>
      <c r="D48" s="185"/>
      <c r="E48" s="15"/>
      <c r="F48" s="151"/>
      <c r="G48" s="151"/>
      <c r="H48" s="151"/>
      <c r="I48" s="15"/>
      <c r="J48" s="15"/>
      <c r="K48" s="15"/>
      <c r="L48" s="15"/>
      <c r="M48" s="15"/>
      <c r="N48" s="15"/>
      <c r="O48" s="15"/>
      <c r="R48" s="5"/>
      <c r="S48"/>
      <c r="T48" s="9">
        <f t="shared" si="0"/>
        <v>0</v>
      </c>
      <c r="U48" s="9">
        <f t="shared" si="1"/>
        <v>0</v>
      </c>
      <c r="V48" s="9">
        <f t="shared" si="2"/>
        <v>0</v>
      </c>
    </row>
    <row r="49" spans="1:22" x14ac:dyDescent="0.25">
      <c r="A49" s="167">
        <v>45154</v>
      </c>
      <c r="B49" s="14"/>
      <c r="C49" s="6"/>
      <c r="D49" s="185"/>
      <c r="E49" s="15"/>
      <c r="F49" s="151"/>
      <c r="G49" s="151"/>
      <c r="H49" s="151"/>
      <c r="I49" s="15"/>
      <c r="J49" s="15"/>
      <c r="K49" s="15"/>
      <c r="L49" s="15"/>
      <c r="M49" s="15"/>
      <c r="N49" s="15"/>
      <c r="O49" s="15"/>
      <c r="R49" s="5"/>
      <c r="S49"/>
      <c r="T49" s="9">
        <f t="shared" si="0"/>
        <v>0</v>
      </c>
      <c r="U49" s="9">
        <f t="shared" si="1"/>
        <v>0</v>
      </c>
      <c r="V49" s="9">
        <f t="shared" si="2"/>
        <v>0</v>
      </c>
    </row>
    <row r="50" spans="1:22" x14ac:dyDescent="0.25">
      <c r="A50" s="167">
        <v>45154</v>
      </c>
      <c r="B50" s="14"/>
      <c r="C50" s="6"/>
      <c r="D50" s="185"/>
      <c r="E50" s="15"/>
      <c r="F50" s="151"/>
      <c r="G50" s="151"/>
      <c r="H50" s="151"/>
      <c r="I50" s="15"/>
      <c r="J50" s="15"/>
      <c r="K50" s="15"/>
      <c r="L50" s="15"/>
      <c r="M50" s="15"/>
      <c r="N50" s="15"/>
      <c r="O50" s="15"/>
      <c r="R50" s="5"/>
      <c r="S50"/>
      <c r="T50" s="9">
        <f t="shared" si="0"/>
        <v>0</v>
      </c>
      <c r="U50" s="9">
        <f t="shared" si="1"/>
        <v>0</v>
      </c>
      <c r="V50" s="9">
        <f t="shared" si="2"/>
        <v>0</v>
      </c>
    </row>
    <row r="51" spans="1:22" x14ac:dyDescent="0.25">
      <c r="A51" s="167">
        <v>45154</v>
      </c>
      <c r="B51" s="14"/>
      <c r="C51" s="6"/>
      <c r="D51" s="185"/>
      <c r="E51" s="15"/>
      <c r="F51" s="151"/>
      <c r="G51" s="151"/>
      <c r="H51" s="151"/>
      <c r="I51" s="15"/>
      <c r="J51" s="15"/>
      <c r="K51" s="15"/>
      <c r="L51" s="15"/>
      <c r="M51" s="15"/>
      <c r="N51" s="15"/>
      <c r="O51" s="15"/>
      <c r="R51" s="5"/>
      <c r="S51"/>
      <c r="T51" s="9">
        <f t="shared" si="0"/>
        <v>0</v>
      </c>
      <c r="U51" s="9">
        <f t="shared" si="1"/>
        <v>0</v>
      </c>
      <c r="V51" s="9">
        <f t="shared" si="2"/>
        <v>0</v>
      </c>
    </row>
    <row r="52" spans="1:22" x14ac:dyDescent="0.25">
      <c r="A52" s="167">
        <v>45154</v>
      </c>
      <c r="B52" s="16"/>
      <c r="C52" s="6"/>
      <c r="D52" s="185"/>
      <c r="E52" s="15"/>
      <c r="F52" s="151"/>
      <c r="G52" s="151"/>
      <c r="H52" s="151"/>
      <c r="I52" s="15"/>
      <c r="J52" s="15"/>
      <c r="K52" s="15"/>
      <c r="L52" s="15"/>
      <c r="M52" s="15"/>
      <c r="N52" s="15"/>
      <c r="O52" s="15"/>
      <c r="R52" s="5"/>
      <c r="S52"/>
      <c r="T52" s="9">
        <f t="shared" si="0"/>
        <v>0</v>
      </c>
      <c r="U52" s="9">
        <f t="shared" si="1"/>
        <v>0</v>
      </c>
      <c r="V52" s="9">
        <f t="shared" si="2"/>
        <v>0</v>
      </c>
    </row>
    <row r="53" spans="1:22" x14ac:dyDescent="0.25">
      <c r="A53" s="167">
        <v>45154</v>
      </c>
      <c r="B53" s="14"/>
      <c r="C53" s="6"/>
      <c r="D53" s="185"/>
      <c r="E53" s="15"/>
      <c r="F53" s="151"/>
      <c r="G53" s="151"/>
      <c r="H53" s="151"/>
      <c r="I53" s="15"/>
      <c r="J53" s="15"/>
      <c r="K53" s="15"/>
      <c r="L53" s="15"/>
      <c r="M53" s="15"/>
      <c r="N53" s="15"/>
      <c r="O53" s="15"/>
      <c r="R53" s="5"/>
      <c r="S53"/>
      <c r="T53" s="9">
        <f t="shared" si="0"/>
        <v>0</v>
      </c>
      <c r="U53" s="9">
        <f t="shared" si="1"/>
        <v>0</v>
      </c>
      <c r="V53" s="9">
        <f t="shared" si="2"/>
        <v>0</v>
      </c>
    </row>
    <row r="54" spans="1:22" x14ac:dyDescent="0.25">
      <c r="A54" s="167">
        <v>45154</v>
      </c>
      <c r="B54" s="16"/>
      <c r="C54" s="6"/>
      <c r="D54" s="185"/>
      <c r="E54" s="15"/>
      <c r="F54" s="151"/>
      <c r="G54" s="151"/>
      <c r="H54" s="151"/>
      <c r="I54" s="15"/>
      <c r="J54" s="15"/>
      <c r="K54" s="15"/>
      <c r="L54" s="15"/>
      <c r="M54" s="15"/>
      <c r="N54" s="15"/>
      <c r="O54" s="15"/>
      <c r="R54" s="5"/>
      <c r="S54"/>
      <c r="T54" s="9">
        <f t="shared" si="0"/>
        <v>0</v>
      </c>
      <c r="U54" s="9">
        <f t="shared" si="1"/>
        <v>0</v>
      </c>
      <c r="V54" s="9">
        <f t="shared" si="2"/>
        <v>0</v>
      </c>
    </row>
    <row r="55" spans="1:22" x14ac:dyDescent="0.25">
      <c r="A55" s="167">
        <v>45154</v>
      </c>
      <c r="B55" s="14"/>
      <c r="C55" s="6"/>
      <c r="D55" s="185"/>
      <c r="E55" s="15"/>
      <c r="F55" s="151"/>
      <c r="G55" s="151"/>
      <c r="H55" s="151"/>
      <c r="I55" s="15"/>
      <c r="J55" s="15"/>
      <c r="K55" s="15"/>
      <c r="L55" s="15"/>
      <c r="M55" s="15"/>
      <c r="N55" s="15"/>
      <c r="O55" s="15"/>
      <c r="R55" s="5"/>
      <c r="S55"/>
      <c r="T55" s="9">
        <f t="shared" si="0"/>
        <v>0</v>
      </c>
      <c r="U55" s="9">
        <f t="shared" si="1"/>
        <v>0</v>
      </c>
      <c r="V55" s="9">
        <f t="shared" si="2"/>
        <v>0</v>
      </c>
    </row>
    <row r="56" spans="1:22" x14ac:dyDescent="0.25">
      <c r="A56" s="167">
        <v>45154</v>
      </c>
      <c r="B56" s="16"/>
      <c r="C56" s="6"/>
      <c r="D56" s="185"/>
      <c r="E56" s="15"/>
      <c r="F56" s="151"/>
      <c r="G56" s="151"/>
      <c r="H56" s="151"/>
      <c r="I56" s="15"/>
      <c r="J56" s="15"/>
      <c r="K56" s="15"/>
      <c r="L56" s="15"/>
      <c r="M56" s="15"/>
      <c r="N56" s="15"/>
      <c r="O56" s="15"/>
      <c r="R56" s="5"/>
      <c r="S56"/>
      <c r="T56" s="9">
        <f t="shared" si="0"/>
        <v>0</v>
      </c>
      <c r="U56" s="9">
        <f t="shared" si="1"/>
        <v>0</v>
      </c>
      <c r="V56" s="9">
        <f t="shared" si="2"/>
        <v>0</v>
      </c>
    </row>
    <row r="57" spans="1:22" x14ac:dyDescent="0.25">
      <c r="A57" s="167">
        <v>45154</v>
      </c>
      <c r="B57" s="14"/>
      <c r="C57" s="6"/>
      <c r="D57" s="185"/>
      <c r="E57" s="15"/>
      <c r="F57" s="151"/>
      <c r="G57" s="151"/>
      <c r="H57" s="151"/>
      <c r="I57" s="15"/>
      <c r="J57" s="15"/>
      <c r="K57" s="15"/>
      <c r="L57" s="15"/>
      <c r="M57" s="15"/>
      <c r="N57" s="15"/>
      <c r="O57" s="15"/>
      <c r="R57" s="5"/>
      <c r="S57"/>
      <c r="T57" s="9">
        <f t="shared" si="0"/>
        <v>0</v>
      </c>
      <c r="U57" s="9">
        <f t="shared" si="1"/>
        <v>0</v>
      </c>
      <c r="V57" s="9">
        <f t="shared" si="2"/>
        <v>0</v>
      </c>
    </row>
    <row r="58" spans="1:22" x14ac:dyDescent="0.25">
      <c r="A58" s="167">
        <v>45154</v>
      </c>
      <c r="B58" s="16"/>
      <c r="C58" s="6"/>
      <c r="D58" s="185"/>
      <c r="E58" s="15"/>
      <c r="F58" s="151"/>
      <c r="G58" s="151"/>
      <c r="H58" s="151"/>
      <c r="I58" s="15"/>
      <c r="J58" s="15"/>
      <c r="K58" s="15"/>
      <c r="L58" s="15"/>
      <c r="M58" s="15"/>
      <c r="N58" s="15"/>
      <c r="O58" s="15"/>
      <c r="R58" s="5"/>
      <c r="S58"/>
      <c r="T58" s="9">
        <f t="shared" si="0"/>
        <v>0</v>
      </c>
      <c r="U58" s="9">
        <f t="shared" si="1"/>
        <v>0</v>
      </c>
      <c r="V58" s="9">
        <f t="shared" si="2"/>
        <v>0</v>
      </c>
    </row>
    <row r="59" spans="1:22" x14ac:dyDescent="0.25">
      <c r="A59" s="167">
        <v>45154</v>
      </c>
      <c r="B59" s="14"/>
      <c r="C59" s="6"/>
      <c r="D59" s="185"/>
      <c r="E59" s="15"/>
      <c r="F59" s="151"/>
      <c r="G59" s="151"/>
      <c r="H59" s="151"/>
      <c r="I59" s="15"/>
      <c r="J59" s="15"/>
      <c r="K59" s="15"/>
      <c r="L59" s="15"/>
      <c r="M59" s="15"/>
      <c r="N59" s="15"/>
      <c r="O59" s="15"/>
      <c r="R59" s="5"/>
      <c r="S59"/>
      <c r="T59" s="9">
        <f t="shared" si="0"/>
        <v>0</v>
      </c>
      <c r="U59" s="9">
        <f t="shared" si="1"/>
        <v>0</v>
      </c>
      <c r="V59" s="9">
        <f t="shared" si="2"/>
        <v>0</v>
      </c>
    </row>
    <row r="60" spans="1:22" x14ac:dyDescent="0.25">
      <c r="A60" s="167">
        <v>45154</v>
      </c>
      <c r="B60" s="16"/>
      <c r="C60" s="6"/>
      <c r="D60" s="18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R60" s="5"/>
      <c r="S60"/>
      <c r="T60" s="9">
        <f t="shared" si="0"/>
        <v>0</v>
      </c>
      <c r="U60" s="9">
        <f t="shared" si="1"/>
        <v>0</v>
      </c>
      <c r="V60" s="9">
        <f t="shared" si="2"/>
        <v>0</v>
      </c>
    </row>
    <row r="61" spans="1:22" x14ac:dyDescent="0.25">
      <c r="A61" s="167">
        <v>45154</v>
      </c>
      <c r="B61" s="16"/>
      <c r="C61" s="6"/>
      <c r="D61" s="18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R61" s="5"/>
      <c r="S61"/>
      <c r="T61" s="9">
        <f t="shared" si="0"/>
        <v>0</v>
      </c>
      <c r="U61" s="9">
        <f t="shared" si="1"/>
        <v>0</v>
      </c>
      <c r="V61" s="9">
        <f t="shared" si="2"/>
        <v>0</v>
      </c>
    </row>
    <row r="62" spans="1:22" x14ac:dyDescent="0.25">
      <c r="A62" s="167">
        <v>45154</v>
      </c>
      <c r="B62" s="16"/>
      <c r="C62" s="6"/>
      <c r="D62" s="18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R62" s="5"/>
      <c r="S62"/>
      <c r="T62" s="9">
        <f t="shared" si="0"/>
        <v>0</v>
      </c>
      <c r="U62" s="9">
        <f t="shared" si="1"/>
        <v>0</v>
      </c>
      <c r="V62" s="9">
        <f t="shared" si="2"/>
        <v>0</v>
      </c>
    </row>
    <row r="63" spans="1:22" x14ac:dyDescent="0.25">
      <c r="A63" s="167">
        <v>45154</v>
      </c>
      <c r="B63" s="16"/>
      <c r="C63" s="6"/>
      <c r="D63" s="18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R63" s="5"/>
      <c r="S63"/>
      <c r="T63" s="9">
        <f t="shared" si="0"/>
        <v>0</v>
      </c>
      <c r="U63" s="9">
        <f t="shared" si="1"/>
        <v>0</v>
      </c>
      <c r="V63" s="9">
        <f t="shared" si="2"/>
        <v>0</v>
      </c>
    </row>
    <row r="64" spans="1:22" x14ac:dyDescent="0.25">
      <c r="A64" s="167">
        <v>45154</v>
      </c>
      <c r="B64" s="14"/>
      <c r="C64" s="6"/>
      <c r="D64" s="18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R64" s="5"/>
      <c r="S64"/>
      <c r="T64" s="9">
        <f t="shared" si="0"/>
        <v>0</v>
      </c>
      <c r="U64" s="9">
        <f t="shared" si="1"/>
        <v>0</v>
      </c>
      <c r="V64" s="9">
        <f t="shared" si="2"/>
        <v>0</v>
      </c>
    </row>
    <row r="65" spans="1:22" x14ac:dyDescent="0.25">
      <c r="A65" s="167">
        <v>45154</v>
      </c>
      <c r="B65" s="14"/>
      <c r="C65" s="6"/>
      <c r="D65" s="18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R65" s="5"/>
      <c r="S65"/>
      <c r="T65" s="9">
        <f t="shared" si="0"/>
        <v>0</v>
      </c>
      <c r="U65" s="9">
        <f t="shared" si="1"/>
        <v>0</v>
      </c>
      <c r="V65" s="9">
        <f t="shared" si="2"/>
        <v>0</v>
      </c>
    </row>
    <row r="66" spans="1:22" x14ac:dyDescent="0.25">
      <c r="A66" s="167">
        <v>45154</v>
      </c>
      <c r="B66" s="14"/>
      <c r="C66" s="6"/>
      <c r="D66" s="18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R66" s="5"/>
      <c r="S66"/>
      <c r="T66" s="9">
        <f t="shared" si="0"/>
        <v>0</v>
      </c>
      <c r="U66" s="9">
        <f t="shared" si="1"/>
        <v>0</v>
      </c>
      <c r="V66" s="9">
        <f t="shared" si="2"/>
        <v>0</v>
      </c>
    </row>
    <row r="67" spans="1:22" x14ac:dyDescent="0.25">
      <c r="A67" s="167">
        <v>45154</v>
      </c>
      <c r="B67" s="16"/>
      <c r="C67" s="6"/>
      <c r="D67" s="18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R67" s="5"/>
      <c r="S67"/>
      <c r="T67" s="9">
        <f t="shared" si="0"/>
        <v>0</v>
      </c>
      <c r="U67" s="9">
        <f t="shared" si="1"/>
        <v>0</v>
      </c>
      <c r="V67" s="9">
        <f t="shared" si="2"/>
        <v>0</v>
      </c>
    </row>
    <row r="68" spans="1:22" x14ac:dyDescent="0.25">
      <c r="A68" s="167">
        <v>45154</v>
      </c>
      <c r="B68" s="14"/>
      <c r="C68" s="6"/>
      <c r="D68" s="18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R68" s="5"/>
      <c r="S68"/>
      <c r="T68" s="9">
        <f t="shared" ref="T68:T105" si="3">COUNTIF(E68,"SSB")</f>
        <v>0</v>
      </c>
      <c r="U68" s="9">
        <f t="shared" ref="U68:U105" si="4">COUNTIF(E68,"CW")</f>
        <v>0</v>
      </c>
      <c r="V68" s="9">
        <f t="shared" ref="V68:V105" si="5">COUNTIF(E68,"RTTY")</f>
        <v>0</v>
      </c>
    </row>
    <row r="69" spans="1:22" x14ac:dyDescent="0.25">
      <c r="A69" s="167">
        <v>45154</v>
      </c>
      <c r="B69" s="16"/>
      <c r="C69" s="6"/>
      <c r="D69" s="18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R69" s="5"/>
      <c r="S69"/>
      <c r="T69" s="9">
        <f t="shared" si="3"/>
        <v>0</v>
      </c>
      <c r="U69" s="9">
        <f t="shared" si="4"/>
        <v>0</v>
      </c>
      <c r="V69" s="9">
        <f t="shared" si="5"/>
        <v>0</v>
      </c>
    </row>
    <row r="70" spans="1:22" x14ac:dyDescent="0.25">
      <c r="A70" s="167">
        <v>45154</v>
      </c>
      <c r="B70" s="16"/>
      <c r="C70" s="6"/>
      <c r="D70" s="18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R70" s="5"/>
      <c r="S70"/>
      <c r="T70" s="9">
        <f t="shared" si="3"/>
        <v>0</v>
      </c>
      <c r="U70" s="9">
        <f t="shared" si="4"/>
        <v>0</v>
      </c>
      <c r="V70" s="9">
        <f t="shared" si="5"/>
        <v>0</v>
      </c>
    </row>
    <row r="71" spans="1:22" x14ac:dyDescent="0.25">
      <c r="A71" s="167">
        <v>45154</v>
      </c>
      <c r="B71" s="14"/>
      <c r="C71" s="6"/>
      <c r="D71" s="18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R71" s="5"/>
      <c r="S71"/>
      <c r="T71" s="9">
        <f t="shared" si="3"/>
        <v>0</v>
      </c>
      <c r="U71" s="9">
        <f t="shared" si="4"/>
        <v>0</v>
      </c>
      <c r="V71" s="9">
        <f t="shared" si="5"/>
        <v>0</v>
      </c>
    </row>
    <row r="72" spans="1:22" x14ac:dyDescent="0.25">
      <c r="A72" s="167">
        <v>45154</v>
      </c>
      <c r="B72" s="14"/>
      <c r="C72" s="6"/>
      <c r="D72" s="18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R72" s="5"/>
      <c r="S72"/>
      <c r="T72" s="9">
        <f t="shared" si="3"/>
        <v>0</v>
      </c>
      <c r="U72" s="9">
        <f t="shared" si="4"/>
        <v>0</v>
      </c>
      <c r="V72" s="9">
        <f t="shared" si="5"/>
        <v>0</v>
      </c>
    </row>
    <row r="73" spans="1:22" x14ac:dyDescent="0.25">
      <c r="A73" s="167">
        <v>45154</v>
      </c>
      <c r="B73" s="16"/>
      <c r="C73" s="6"/>
      <c r="D73" s="18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R73" s="5"/>
      <c r="S73"/>
      <c r="T73" s="9">
        <f t="shared" si="3"/>
        <v>0</v>
      </c>
      <c r="U73" s="9">
        <f t="shared" si="4"/>
        <v>0</v>
      </c>
      <c r="V73" s="9">
        <f t="shared" si="5"/>
        <v>0</v>
      </c>
    </row>
    <row r="74" spans="1:22" x14ac:dyDescent="0.25">
      <c r="A74" s="167">
        <v>45154</v>
      </c>
      <c r="B74" s="14"/>
      <c r="C74" s="6"/>
      <c r="D74" s="18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R74" s="5"/>
      <c r="S74"/>
      <c r="T74" s="9">
        <f t="shared" si="3"/>
        <v>0</v>
      </c>
      <c r="U74" s="9">
        <f t="shared" si="4"/>
        <v>0</v>
      </c>
      <c r="V74" s="9">
        <f t="shared" si="5"/>
        <v>0</v>
      </c>
    </row>
    <row r="75" spans="1:22" x14ac:dyDescent="0.25">
      <c r="A75" s="167">
        <v>45154</v>
      </c>
      <c r="B75" s="14"/>
      <c r="C75" s="6"/>
      <c r="D75" s="18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R75" s="5"/>
      <c r="S75"/>
      <c r="T75" s="9">
        <f t="shared" si="3"/>
        <v>0</v>
      </c>
      <c r="U75" s="9">
        <f t="shared" si="4"/>
        <v>0</v>
      </c>
      <c r="V75" s="9">
        <f t="shared" si="5"/>
        <v>0</v>
      </c>
    </row>
    <row r="76" spans="1:22" x14ac:dyDescent="0.25">
      <c r="A76" s="167">
        <v>45154</v>
      </c>
      <c r="B76" s="14"/>
      <c r="C76" s="6"/>
      <c r="D76" s="18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R76" s="5"/>
      <c r="S76"/>
      <c r="T76" s="9">
        <f t="shared" si="3"/>
        <v>0</v>
      </c>
      <c r="U76" s="9">
        <f t="shared" si="4"/>
        <v>0</v>
      </c>
      <c r="V76" s="9">
        <f t="shared" si="5"/>
        <v>0</v>
      </c>
    </row>
    <row r="77" spans="1:22" x14ac:dyDescent="0.25">
      <c r="A77" s="167">
        <v>45154</v>
      </c>
      <c r="B77" s="16"/>
      <c r="C77" s="6"/>
      <c r="D77" s="18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R77" s="5"/>
      <c r="S77"/>
      <c r="T77" s="9">
        <f t="shared" si="3"/>
        <v>0</v>
      </c>
      <c r="U77" s="9">
        <f t="shared" si="4"/>
        <v>0</v>
      </c>
      <c r="V77" s="9">
        <f t="shared" si="5"/>
        <v>0</v>
      </c>
    </row>
    <row r="78" spans="1:22" x14ac:dyDescent="0.25">
      <c r="A78" s="167">
        <v>45154</v>
      </c>
      <c r="B78" s="14"/>
      <c r="C78" s="6"/>
      <c r="D78" s="18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R78" s="5"/>
      <c r="S78"/>
      <c r="T78" s="9">
        <f t="shared" si="3"/>
        <v>0</v>
      </c>
      <c r="U78" s="9">
        <f t="shared" si="4"/>
        <v>0</v>
      </c>
      <c r="V78" s="9">
        <f t="shared" si="5"/>
        <v>0</v>
      </c>
    </row>
    <row r="79" spans="1:22" x14ac:dyDescent="0.25">
      <c r="A79" s="167">
        <v>45154</v>
      </c>
      <c r="B79" s="16"/>
      <c r="C79" s="6"/>
      <c r="D79" s="18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R79" s="5"/>
      <c r="S79"/>
      <c r="T79" s="9">
        <f t="shared" si="3"/>
        <v>0</v>
      </c>
      <c r="U79" s="9">
        <f t="shared" si="4"/>
        <v>0</v>
      </c>
      <c r="V79" s="9">
        <f t="shared" si="5"/>
        <v>0</v>
      </c>
    </row>
    <row r="80" spans="1:22" x14ac:dyDescent="0.25">
      <c r="A80" s="167">
        <v>45154</v>
      </c>
      <c r="B80" s="14"/>
      <c r="C80" s="6"/>
      <c r="D80" s="18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R80" s="5"/>
      <c r="S80"/>
      <c r="T80" s="9">
        <f t="shared" si="3"/>
        <v>0</v>
      </c>
      <c r="U80" s="9">
        <f t="shared" si="4"/>
        <v>0</v>
      </c>
      <c r="V80" s="9">
        <f t="shared" si="5"/>
        <v>0</v>
      </c>
    </row>
    <row r="81" spans="1:22" x14ac:dyDescent="0.25">
      <c r="A81" s="167">
        <v>45154</v>
      </c>
      <c r="B81" s="16"/>
      <c r="C81" s="6"/>
      <c r="D81" s="18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R81" s="5"/>
      <c r="S81"/>
      <c r="T81" s="9">
        <f t="shared" si="3"/>
        <v>0</v>
      </c>
      <c r="U81" s="9">
        <f t="shared" si="4"/>
        <v>0</v>
      </c>
      <c r="V81" s="9">
        <f t="shared" si="5"/>
        <v>0</v>
      </c>
    </row>
    <row r="82" spans="1:22" x14ac:dyDescent="0.25">
      <c r="A82" s="167">
        <v>45154</v>
      </c>
      <c r="B82" s="14"/>
      <c r="C82" s="6"/>
      <c r="D82" s="18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R82" s="5"/>
      <c r="S82"/>
      <c r="T82" s="9">
        <f t="shared" si="3"/>
        <v>0</v>
      </c>
      <c r="U82" s="9">
        <f t="shared" si="4"/>
        <v>0</v>
      </c>
      <c r="V82" s="9">
        <f t="shared" si="5"/>
        <v>0</v>
      </c>
    </row>
    <row r="83" spans="1:22" x14ac:dyDescent="0.25">
      <c r="A83" s="167">
        <v>45154</v>
      </c>
      <c r="B83" s="14"/>
      <c r="C83" s="6"/>
      <c r="D83" s="18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R83" s="5"/>
      <c r="S83"/>
      <c r="T83" s="9">
        <f t="shared" si="3"/>
        <v>0</v>
      </c>
      <c r="U83" s="9">
        <f t="shared" si="4"/>
        <v>0</v>
      </c>
      <c r="V83" s="9">
        <f t="shared" si="5"/>
        <v>0</v>
      </c>
    </row>
    <row r="84" spans="1:22" x14ac:dyDescent="0.25">
      <c r="A84" s="167">
        <v>45154</v>
      </c>
      <c r="B84" s="16"/>
      <c r="C84" s="6"/>
      <c r="D84" s="18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R84" s="5"/>
      <c r="S84"/>
      <c r="T84" s="9">
        <f t="shared" si="3"/>
        <v>0</v>
      </c>
      <c r="U84" s="9">
        <f t="shared" si="4"/>
        <v>0</v>
      </c>
      <c r="V84" s="9">
        <f t="shared" si="5"/>
        <v>0</v>
      </c>
    </row>
    <row r="85" spans="1:22" x14ac:dyDescent="0.25">
      <c r="A85" s="167">
        <v>45154</v>
      </c>
      <c r="B85" s="16"/>
      <c r="C85" s="6"/>
      <c r="D85" s="18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R85" s="5"/>
      <c r="S85"/>
      <c r="T85" s="9">
        <f t="shared" si="3"/>
        <v>0</v>
      </c>
      <c r="U85" s="9">
        <f t="shared" si="4"/>
        <v>0</v>
      </c>
      <c r="V85" s="9">
        <f t="shared" si="5"/>
        <v>0</v>
      </c>
    </row>
    <row r="86" spans="1:22" x14ac:dyDescent="0.25">
      <c r="A86" s="167">
        <v>45154</v>
      </c>
      <c r="B86" s="16"/>
      <c r="C86" s="6"/>
      <c r="D86" s="18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R86" s="5"/>
      <c r="S86"/>
      <c r="T86" s="9">
        <f t="shared" si="3"/>
        <v>0</v>
      </c>
      <c r="U86" s="9">
        <f t="shared" si="4"/>
        <v>0</v>
      </c>
      <c r="V86" s="9">
        <f t="shared" si="5"/>
        <v>0</v>
      </c>
    </row>
    <row r="87" spans="1:22" x14ac:dyDescent="0.25">
      <c r="A87" s="167">
        <v>45154</v>
      </c>
      <c r="B87" s="14"/>
      <c r="C87" s="6"/>
      <c r="D87" s="18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R87" s="5"/>
      <c r="S87"/>
      <c r="T87" s="9">
        <f t="shared" si="3"/>
        <v>0</v>
      </c>
      <c r="U87" s="9">
        <f t="shared" si="4"/>
        <v>0</v>
      </c>
      <c r="V87" s="9">
        <f t="shared" si="5"/>
        <v>0</v>
      </c>
    </row>
    <row r="88" spans="1:22" x14ac:dyDescent="0.25">
      <c r="A88" s="167">
        <v>45154</v>
      </c>
      <c r="B88" s="14"/>
      <c r="C88" s="6"/>
      <c r="D88" s="18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R88" s="5"/>
      <c r="S88"/>
      <c r="T88" s="9">
        <f t="shared" si="3"/>
        <v>0</v>
      </c>
      <c r="U88" s="9">
        <f t="shared" si="4"/>
        <v>0</v>
      </c>
      <c r="V88" s="9">
        <f t="shared" si="5"/>
        <v>0</v>
      </c>
    </row>
    <row r="89" spans="1:22" x14ac:dyDescent="0.25">
      <c r="A89" s="167">
        <v>45154</v>
      </c>
      <c r="B89" s="14"/>
      <c r="C89" s="6"/>
      <c r="D89" s="18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R89" s="5"/>
      <c r="S89"/>
      <c r="T89" s="9">
        <f t="shared" si="3"/>
        <v>0</v>
      </c>
      <c r="U89" s="9">
        <f t="shared" si="4"/>
        <v>0</v>
      </c>
      <c r="V89" s="9">
        <f t="shared" si="5"/>
        <v>0</v>
      </c>
    </row>
    <row r="90" spans="1:22" x14ac:dyDescent="0.25">
      <c r="A90" s="167">
        <v>45154</v>
      </c>
      <c r="B90" s="14"/>
      <c r="C90" s="6"/>
      <c r="D90" s="18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R90" s="5"/>
      <c r="S90"/>
      <c r="T90" s="9">
        <f t="shared" si="3"/>
        <v>0</v>
      </c>
      <c r="U90" s="9">
        <f t="shared" si="4"/>
        <v>0</v>
      </c>
      <c r="V90" s="9">
        <f t="shared" si="5"/>
        <v>0</v>
      </c>
    </row>
    <row r="91" spans="1:22" x14ac:dyDescent="0.25">
      <c r="A91" s="167">
        <v>45154</v>
      </c>
      <c r="B91" s="16"/>
      <c r="C91" s="6"/>
      <c r="D91" s="18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R91" s="5"/>
      <c r="S91"/>
      <c r="T91" s="9">
        <f t="shared" si="3"/>
        <v>0</v>
      </c>
      <c r="U91" s="9">
        <f t="shared" si="4"/>
        <v>0</v>
      </c>
      <c r="V91" s="9">
        <f t="shared" si="5"/>
        <v>0</v>
      </c>
    </row>
    <row r="92" spans="1:22" x14ac:dyDescent="0.25">
      <c r="A92" s="167">
        <v>45154</v>
      </c>
      <c r="B92" s="14"/>
      <c r="C92" s="6"/>
      <c r="D92" s="18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R92" s="5"/>
      <c r="S92"/>
      <c r="T92" s="9">
        <f t="shared" si="3"/>
        <v>0</v>
      </c>
      <c r="U92" s="9">
        <f t="shared" si="4"/>
        <v>0</v>
      </c>
      <c r="V92" s="9">
        <f t="shared" si="5"/>
        <v>0</v>
      </c>
    </row>
    <row r="93" spans="1:22" x14ac:dyDescent="0.25">
      <c r="A93" s="167">
        <v>45154</v>
      </c>
      <c r="B93" s="16"/>
      <c r="C93" s="6"/>
      <c r="D93" s="18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R93" s="5"/>
      <c r="S93"/>
      <c r="T93" s="9">
        <f t="shared" si="3"/>
        <v>0</v>
      </c>
      <c r="U93" s="9">
        <f t="shared" si="4"/>
        <v>0</v>
      </c>
      <c r="V93" s="9">
        <f t="shared" si="5"/>
        <v>0</v>
      </c>
    </row>
    <row r="94" spans="1:22" x14ac:dyDescent="0.25">
      <c r="A94" s="167">
        <v>45154</v>
      </c>
      <c r="B94" s="14"/>
      <c r="C94" s="6"/>
      <c r="D94" s="18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R94" s="5"/>
      <c r="S94"/>
      <c r="T94" s="9">
        <f t="shared" si="3"/>
        <v>0</v>
      </c>
      <c r="U94" s="9">
        <f t="shared" si="4"/>
        <v>0</v>
      </c>
      <c r="V94" s="9">
        <f t="shared" si="5"/>
        <v>0</v>
      </c>
    </row>
    <row r="95" spans="1:22" x14ac:dyDescent="0.25">
      <c r="A95" s="167">
        <v>45154</v>
      </c>
      <c r="B95" s="14"/>
      <c r="C95" s="6"/>
      <c r="D95" s="18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R95" s="5"/>
      <c r="S95"/>
      <c r="T95" s="9">
        <f t="shared" si="3"/>
        <v>0</v>
      </c>
      <c r="U95" s="9">
        <f t="shared" si="4"/>
        <v>0</v>
      </c>
      <c r="V95" s="9">
        <f t="shared" si="5"/>
        <v>0</v>
      </c>
    </row>
    <row r="96" spans="1:22" x14ac:dyDescent="0.25">
      <c r="A96" s="167">
        <v>45154</v>
      </c>
      <c r="B96" s="16"/>
      <c r="C96" s="6"/>
      <c r="D96" s="18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R96" s="5"/>
      <c r="S96"/>
      <c r="T96" s="9">
        <f t="shared" si="3"/>
        <v>0</v>
      </c>
      <c r="U96" s="9">
        <f t="shared" si="4"/>
        <v>0</v>
      </c>
      <c r="V96" s="9">
        <f t="shared" si="5"/>
        <v>0</v>
      </c>
    </row>
    <row r="97" spans="1:22" x14ac:dyDescent="0.25">
      <c r="A97" s="167">
        <v>45154</v>
      </c>
      <c r="B97" s="16"/>
      <c r="C97" s="6"/>
      <c r="D97" s="18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R97" s="5"/>
      <c r="S97"/>
      <c r="T97" s="9">
        <f t="shared" si="3"/>
        <v>0</v>
      </c>
      <c r="U97" s="9">
        <f t="shared" si="4"/>
        <v>0</v>
      </c>
      <c r="V97" s="9">
        <f t="shared" si="5"/>
        <v>0</v>
      </c>
    </row>
    <row r="98" spans="1:22" x14ac:dyDescent="0.25">
      <c r="A98" s="167">
        <v>45154</v>
      </c>
      <c r="B98" s="14"/>
      <c r="C98" s="6"/>
      <c r="D98" s="18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R98" s="5"/>
      <c r="S98"/>
      <c r="T98" s="9">
        <f t="shared" si="3"/>
        <v>0</v>
      </c>
      <c r="U98" s="9">
        <f t="shared" si="4"/>
        <v>0</v>
      </c>
      <c r="V98" s="9">
        <f t="shared" si="5"/>
        <v>0</v>
      </c>
    </row>
    <row r="99" spans="1:22" x14ac:dyDescent="0.25">
      <c r="A99" s="167">
        <v>45154</v>
      </c>
      <c r="B99" s="16"/>
      <c r="C99" s="6"/>
      <c r="D99" s="18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R99" s="5"/>
      <c r="S99"/>
      <c r="T99" s="9">
        <f t="shared" si="3"/>
        <v>0</v>
      </c>
      <c r="U99" s="9">
        <f t="shared" si="4"/>
        <v>0</v>
      </c>
      <c r="V99" s="9">
        <f t="shared" si="5"/>
        <v>0</v>
      </c>
    </row>
    <row r="100" spans="1:22" x14ac:dyDescent="0.25">
      <c r="A100" s="167">
        <v>45154</v>
      </c>
      <c r="B100" s="14"/>
      <c r="C100" s="6"/>
      <c r="D100" s="18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R100" s="5"/>
      <c r="S100"/>
      <c r="T100" s="9">
        <f t="shared" si="3"/>
        <v>0</v>
      </c>
      <c r="U100" s="9">
        <f t="shared" si="4"/>
        <v>0</v>
      </c>
      <c r="V100" s="9">
        <f t="shared" si="5"/>
        <v>0</v>
      </c>
    </row>
    <row r="101" spans="1:22" x14ac:dyDescent="0.25">
      <c r="A101" s="167">
        <v>45154</v>
      </c>
      <c r="B101" s="14"/>
      <c r="C101" s="6"/>
      <c r="D101" s="18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R101" s="5"/>
      <c r="S101"/>
      <c r="T101" s="9">
        <f t="shared" si="3"/>
        <v>0</v>
      </c>
      <c r="U101" s="9">
        <f t="shared" si="4"/>
        <v>0</v>
      </c>
      <c r="V101" s="9">
        <f t="shared" si="5"/>
        <v>0</v>
      </c>
    </row>
    <row r="102" spans="1:22" x14ac:dyDescent="0.25">
      <c r="A102" s="167">
        <v>45154</v>
      </c>
      <c r="B102" s="14"/>
      <c r="C102" s="6"/>
      <c r="D102" s="18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R102" s="5"/>
      <c r="S102"/>
      <c r="T102" s="9">
        <f t="shared" si="3"/>
        <v>0</v>
      </c>
      <c r="U102" s="9">
        <f t="shared" si="4"/>
        <v>0</v>
      </c>
      <c r="V102" s="9">
        <f t="shared" si="5"/>
        <v>0</v>
      </c>
    </row>
    <row r="103" spans="1:22" x14ac:dyDescent="0.25">
      <c r="A103" s="167">
        <v>45154</v>
      </c>
      <c r="B103" s="14"/>
      <c r="C103" s="6"/>
      <c r="D103" s="18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R103" s="5"/>
      <c r="S103"/>
      <c r="T103" s="9">
        <f t="shared" si="3"/>
        <v>0</v>
      </c>
      <c r="U103" s="9">
        <f t="shared" si="4"/>
        <v>0</v>
      </c>
      <c r="V103" s="9">
        <f t="shared" si="5"/>
        <v>0</v>
      </c>
    </row>
    <row r="104" spans="1:22" x14ac:dyDescent="0.25">
      <c r="A104" s="167">
        <v>45154</v>
      </c>
      <c r="B104" s="16"/>
      <c r="C104" s="6"/>
      <c r="D104" s="18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R104" s="5"/>
      <c r="S104"/>
      <c r="T104" s="9">
        <f t="shared" si="3"/>
        <v>0</v>
      </c>
      <c r="U104" s="9">
        <f t="shared" si="4"/>
        <v>0</v>
      </c>
      <c r="V104" s="9">
        <f t="shared" si="5"/>
        <v>0</v>
      </c>
    </row>
    <row r="105" spans="1:22" x14ac:dyDescent="0.25">
      <c r="A105" s="167">
        <v>45154</v>
      </c>
      <c r="B105" s="16"/>
      <c r="C105" s="6"/>
      <c r="D105" s="185"/>
      <c r="E105" s="6"/>
      <c r="F105" s="17"/>
      <c r="G105" s="17"/>
      <c r="H105" s="17"/>
      <c r="I105" s="8"/>
      <c r="J105" s="8"/>
      <c r="K105" s="8"/>
      <c r="L105" s="17"/>
      <c r="M105" s="17"/>
      <c r="N105" s="17"/>
      <c r="O105" s="6"/>
      <c r="R105" s="5"/>
      <c r="S105"/>
      <c r="T105" s="9">
        <f t="shared" si="3"/>
        <v>0</v>
      </c>
      <c r="U105" s="9">
        <f t="shared" si="4"/>
        <v>0</v>
      </c>
      <c r="V105" s="9">
        <f t="shared" si="5"/>
        <v>0</v>
      </c>
    </row>
    <row r="106" spans="1:22" x14ac:dyDescent="0.25">
      <c r="P106"/>
      <c r="Q106"/>
      <c r="R106"/>
      <c r="S106"/>
      <c r="V106" s="186"/>
    </row>
  </sheetData>
  <mergeCells count="11">
    <mergeCell ref="F1:H1"/>
    <mergeCell ref="I1:K1"/>
    <mergeCell ref="N1:N2"/>
    <mergeCell ref="O1:O2"/>
    <mergeCell ref="A1:A2"/>
    <mergeCell ref="B1:B2"/>
    <mergeCell ref="C1:C2"/>
    <mergeCell ref="D1:D2"/>
    <mergeCell ref="E1:E2"/>
    <mergeCell ref="M1:M2"/>
    <mergeCell ref="L1:L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60B56-1A2A-4232-90C5-63CF9055A7E3}">
  <sheetPr>
    <tabColor rgb="FFFF0000"/>
  </sheetPr>
  <dimension ref="A1:V1670"/>
  <sheetViews>
    <sheetView tabSelected="1" workbookViewId="0">
      <selection activeCell="J29" sqref="J29"/>
    </sheetView>
  </sheetViews>
  <sheetFormatPr defaultRowHeight="15.75" x14ac:dyDescent="0.25"/>
  <cols>
    <col min="1" max="1" width="13.7109375" style="93" customWidth="1"/>
    <col min="2" max="3" width="13.7109375" style="22" customWidth="1"/>
    <col min="4" max="4" width="13.7109375" style="145" customWidth="1"/>
    <col min="5" max="5" width="13.7109375" style="96" customWidth="1"/>
    <col min="6" max="11" width="13.7109375" style="22" customWidth="1"/>
    <col min="12" max="14" width="13.7109375" style="7" customWidth="1"/>
    <col min="15" max="15" width="13.7109375" style="5" customWidth="1"/>
    <col min="16" max="16" width="11.7109375" style="7" customWidth="1"/>
    <col min="17" max="18" width="13.7109375" style="7" customWidth="1"/>
    <col min="19" max="19" width="8.85546875" style="187" customWidth="1"/>
    <col min="20" max="20" width="10" style="187" hidden="1" customWidth="1"/>
    <col min="21" max="21" width="9.140625" style="187" hidden="1" customWidth="1"/>
    <col min="22" max="22" width="0" style="187" hidden="1" customWidth="1"/>
  </cols>
  <sheetData>
    <row r="1" spans="1:22" ht="17.25" customHeight="1" thickBot="1" x14ac:dyDescent="0.3">
      <c r="A1" s="223" t="s">
        <v>1</v>
      </c>
      <c r="B1" s="223" t="s">
        <v>2</v>
      </c>
      <c r="C1" s="223" t="s">
        <v>0</v>
      </c>
      <c r="D1" s="225" t="s">
        <v>7</v>
      </c>
      <c r="E1" s="227" t="s">
        <v>26</v>
      </c>
      <c r="F1" s="230" t="s">
        <v>5</v>
      </c>
      <c r="G1" s="230"/>
      <c r="H1" s="230"/>
      <c r="I1" s="230" t="s">
        <v>30</v>
      </c>
      <c r="J1" s="230"/>
      <c r="K1" s="230"/>
      <c r="L1" s="217" t="s">
        <v>29</v>
      </c>
      <c r="M1" s="219" t="s">
        <v>20</v>
      </c>
      <c r="N1" s="219" t="s">
        <v>21</v>
      </c>
      <c r="O1" s="221" t="s">
        <v>23</v>
      </c>
      <c r="P1" s="10"/>
      <c r="Q1" s="150" t="s">
        <v>6</v>
      </c>
      <c r="R1" s="11">
        <f>SUM(R3+R4+R5)</f>
        <v>0</v>
      </c>
      <c r="S1" s="174"/>
      <c r="T1" s="171" t="s">
        <v>3</v>
      </c>
      <c r="U1" s="171" t="s">
        <v>4</v>
      </c>
      <c r="V1" s="172" t="s">
        <v>27</v>
      </c>
    </row>
    <row r="2" spans="1:22" x14ac:dyDescent="0.25">
      <c r="A2" s="219"/>
      <c r="B2" s="224"/>
      <c r="C2" s="224"/>
      <c r="D2" s="226"/>
      <c r="E2" s="228"/>
      <c r="F2" s="152" t="s">
        <v>174</v>
      </c>
      <c r="G2" s="152" t="s">
        <v>32</v>
      </c>
      <c r="H2" s="152" t="s">
        <v>31</v>
      </c>
      <c r="I2" s="152" t="s">
        <v>174</v>
      </c>
      <c r="J2" s="152" t="s">
        <v>8</v>
      </c>
      <c r="K2" s="152" t="s">
        <v>22</v>
      </c>
      <c r="L2" s="218"/>
      <c r="M2" s="229"/>
      <c r="N2" s="220"/>
      <c r="O2" s="222"/>
      <c r="P2" s="12"/>
      <c r="Q2" s="12"/>
      <c r="R2" s="12"/>
      <c r="S2" s="174"/>
      <c r="T2" s="15">
        <f>SUM(T3:T105)</f>
        <v>0</v>
      </c>
      <c r="U2" s="15">
        <f>SUM(U3:U105)</f>
        <v>0</v>
      </c>
      <c r="V2" s="15">
        <f>SUM(V3:V105)</f>
        <v>0</v>
      </c>
    </row>
    <row r="3" spans="1:22" x14ac:dyDescent="0.25">
      <c r="A3" s="167">
        <v>45217</v>
      </c>
      <c r="B3" s="153"/>
      <c r="C3" s="153"/>
      <c r="D3" s="183"/>
      <c r="E3" s="166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0"/>
      <c r="Q3" s="176" t="s">
        <v>11</v>
      </c>
      <c r="R3" s="166">
        <f>SUM(L3:L105)</f>
        <v>0</v>
      </c>
      <c r="S3" s="174"/>
      <c r="T3" s="187">
        <f>COUNTIF(E3,"SSB")</f>
        <v>0</v>
      </c>
      <c r="U3" s="187">
        <f>COUNTIF(E3,"CW")</f>
        <v>0</v>
      </c>
      <c r="V3" s="187">
        <f>COUNTIF(E3,"RTTY")</f>
        <v>0</v>
      </c>
    </row>
    <row r="4" spans="1:22" x14ac:dyDescent="0.25">
      <c r="A4" s="167">
        <v>45217</v>
      </c>
      <c r="B4" s="155"/>
      <c r="C4" s="156"/>
      <c r="D4" s="184"/>
      <c r="E4" s="166"/>
      <c r="F4" s="151"/>
      <c r="G4" s="151"/>
      <c r="H4" s="151"/>
      <c r="I4" s="154"/>
      <c r="J4" s="154"/>
      <c r="K4" s="154"/>
      <c r="L4" s="154"/>
      <c r="M4" s="154"/>
      <c r="N4" s="154"/>
      <c r="O4" s="154"/>
      <c r="P4" s="157"/>
      <c r="Q4" s="176" t="s">
        <v>17</v>
      </c>
      <c r="R4" s="166">
        <f>SUM(M3:M105)</f>
        <v>0</v>
      </c>
      <c r="S4" s="174"/>
      <c r="T4" s="187">
        <f t="shared" ref="T4:T67" si="0">COUNTIF(E4,"SSB")</f>
        <v>0</v>
      </c>
      <c r="U4" s="187">
        <f t="shared" ref="U4:U67" si="1">COUNTIF(E4,"CW")</f>
        <v>0</v>
      </c>
      <c r="V4" s="187">
        <f t="shared" ref="V4:V67" si="2">COUNTIF(E4,"RTTY")</f>
        <v>0</v>
      </c>
    </row>
    <row r="5" spans="1:22" x14ac:dyDescent="0.25">
      <c r="A5" s="167">
        <v>45217</v>
      </c>
      <c r="B5" s="155"/>
      <c r="C5" s="156"/>
      <c r="D5" s="184"/>
      <c r="E5" s="166"/>
      <c r="F5" s="151"/>
      <c r="G5" s="151"/>
      <c r="H5" s="151"/>
      <c r="I5" s="154"/>
      <c r="J5" s="154"/>
      <c r="K5" s="154"/>
      <c r="L5" s="154"/>
      <c r="M5" s="154"/>
      <c r="N5" s="154"/>
      <c r="O5" s="154"/>
      <c r="P5" s="157"/>
      <c r="Q5" s="177" t="s">
        <v>16</v>
      </c>
      <c r="R5" s="158">
        <f>SUM(N3:N105)</f>
        <v>0</v>
      </c>
      <c r="S5" s="174"/>
      <c r="T5" s="187">
        <f t="shared" si="0"/>
        <v>0</v>
      </c>
      <c r="U5" s="187">
        <f t="shared" si="1"/>
        <v>0</v>
      </c>
      <c r="V5" s="187">
        <f t="shared" si="2"/>
        <v>0</v>
      </c>
    </row>
    <row r="6" spans="1:22" x14ac:dyDescent="0.25">
      <c r="A6" s="167">
        <v>45217</v>
      </c>
      <c r="B6" s="155"/>
      <c r="C6" s="156"/>
      <c r="D6" s="184"/>
      <c r="E6" s="166"/>
      <c r="F6" s="151"/>
      <c r="G6" s="151"/>
      <c r="H6" s="151"/>
      <c r="I6" s="154"/>
      <c r="J6" s="154"/>
      <c r="K6" s="154"/>
      <c r="L6" s="154"/>
      <c r="M6" s="154"/>
      <c r="N6" s="154"/>
      <c r="O6" s="154"/>
      <c r="P6" s="157"/>
      <c r="Q6" s="170"/>
      <c r="R6" s="173"/>
      <c r="S6" s="174"/>
      <c r="T6" s="187">
        <f t="shared" si="0"/>
        <v>0</v>
      </c>
      <c r="U6" s="187">
        <f t="shared" si="1"/>
        <v>0</v>
      </c>
      <c r="V6" s="187">
        <f t="shared" si="2"/>
        <v>0</v>
      </c>
    </row>
    <row r="7" spans="1:22" x14ac:dyDescent="0.25">
      <c r="A7" s="167">
        <v>45217</v>
      </c>
      <c r="B7" s="155"/>
      <c r="C7" s="156"/>
      <c r="D7" s="184"/>
      <c r="E7" s="166"/>
      <c r="F7" s="151"/>
      <c r="G7" s="151"/>
      <c r="H7" s="151"/>
      <c r="I7" s="154"/>
      <c r="J7" s="154"/>
      <c r="K7" s="154"/>
      <c r="L7" s="154"/>
      <c r="M7" s="154"/>
      <c r="N7" s="154"/>
      <c r="O7" s="154"/>
      <c r="P7" s="157"/>
      <c r="Q7" s="150" t="s">
        <v>9</v>
      </c>
      <c r="R7" s="168">
        <f>T2</f>
        <v>0</v>
      </c>
      <c r="S7" s="174"/>
      <c r="T7" s="187">
        <f t="shared" si="0"/>
        <v>0</v>
      </c>
      <c r="U7" s="187">
        <f t="shared" si="1"/>
        <v>0</v>
      </c>
      <c r="V7" s="187">
        <f t="shared" si="2"/>
        <v>0</v>
      </c>
    </row>
    <row r="8" spans="1:22" x14ac:dyDescent="0.25">
      <c r="A8" s="167">
        <v>45217</v>
      </c>
      <c r="B8" s="155"/>
      <c r="C8" s="156"/>
      <c r="D8" s="184"/>
      <c r="E8" s="166"/>
      <c r="F8" s="151"/>
      <c r="G8" s="151"/>
      <c r="H8" s="151"/>
      <c r="I8" s="154"/>
      <c r="J8" s="154"/>
      <c r="K8" s="154"/>
      <c r="L8" s="154"/>
      <c r="M8" s="154"/>
      <c r="N8" s="154"/>
      <c r="O8" s="154"/>
      <c r="P8" s="157"/>
      <c r="Q8" s="150" t="s">
        <v>10</v>
      </c>
      <c r="R8" s="168">
        <f>U2</f>
        <v>0</v>
      </c>
      <c r="S8" s="174"/>
      <c r="T8" s="187">
        <f t="shared" si="0"/>
        <v>0</v>
      </c>
      <c r="U8" s="187">
        <f t="shared" si="1"/>
        <v>0</v>
      </c>
      <c r="V8" s="187">
        <f t="shared" si="2"/>
        <v>0</v>
      </c>
    </row>
    <row r="9" spans="1:22" x14ac:dyDescent="0.25">
      <c r="A9" s="167">
        <v>45217</v>
      </c>
      <c r="B9" s="155"/>
      <c r="C9" s="156"/>
      <c r="D9" s="184"/>
      <c r="E9" s="154"/>
      <c r="F9" s="151"/>
      <c r="G9" s="151"/>
      <c r="H9" s="151"/>
      <c r="I9" s="154"/>
      <c r="J9" s="154"/>
      <c r="K9" s="154"/>
      <c r="L9" s="154"/>
      <c r="M9" s="154"/>
      <c r="N9" s="154"/>
      <c r="O9" s="154"/>
      <c r="P9" s="157"/>
      <c r="Q9" s="178" t="s">
        <v>28</v>
      </c>
      <c r="R9" s="175">
        <f>V2</f>
        <v>0</v>
      </c>
      <c r="S9" s="174"/>
      <c r="T9" s="187">
        <f t="shared" si="0"/>
        <v>0</v>
      </c>
      <c r="U9" s="187">
        <f t="shared" si="1"/>
        <v>0</v>
      </c>
      <c r="V9" s="187">
        <f t="shared" si="2"/>
        <v>0</v>
      </c>
    </row>
    <row r="10" spans="1:22" ht="15.75" customHeight="1" x14ac:dyDescent="0.25">
      <c r="A10" s="167">
        <v>45217</v>
      </c>
      <c r="B10" s="155"/>
      <c r="C10" s="156"/>
      <c r="D10" s="184"/>
      <c r="E10" s="154"/>
      <c r="F10" s="151"/>
      <c r="G10" s="151"/>
      <c r="H10" s="151"/>
      <c r="I10" s="154"/>
      <c r="J10" s="154"/>
      <c r="K10" s="154"/>
      <c r="L10" s="154"/>
      <c r="M10" s="154"/>
      <c r="N10" s="154"/>
      <c r="O10" s="154"/>
      <c r="P10" s="157"/>
      <c r="Q10" s="179"/>
      <c r="R10" s="159"/>
      <c r="S10" s="174"/>
      <c r="T10" s="187">
        <f t="shared" si="0"/>
        <v>0</v>
      </c>
      <c r="U10" s="187">
        <f t="shared" si="1"/>
        <v>0</v>
      </c>
      <c r="V10" s="187">
        <f t="shared" si="2"/>
        <v>0</v>
      </c>
    </row>
    <row r="11" spans="1:22" x14ac:dyDescent="0.25">
      <c r="A11" s="167">
        <v>45217</v>
      </c>
      <c r="B11" s="155"/>
      <c r="C11" s="156"/>
      <c r="D11" s="184"/>
      <c r="E11" s="154"/>
      <c r="F11" s="151"/>
      <c r="G11" s="151"/>
      <c r="H11" s="151"/>
      <c r="I11" s="154"/>
      <c r="J11" s="154"/>
      <c r="K11" s="154"/>
      <c r="L11" s="154"/>
      <c r="M11" s="154"/>
      <c r="N11" s="154"/>
      <c r="O11" s="154"/>
      <c r="P11" s="157"/>
      <c r="Q11" s="180" t="s">
        <v>24</v>
      </c>
      <c r="R11" s="169"/>
      <c r="S11" s="174"/>
      <c r="T11" s="187">
        <f t="shared" si="0"/>
        <v>0</v>
      </c>
      <c r="U11" s="187">
        <f t="shared" si="1"/>
        <v>0</v>
      </c>
      <c r="V11" s="187">
        <f t="shared" si="2"/>
        <v>0</v>
      </c>
    </row>
    <row r="12" spans="1:22" x14ac:dyDescent="0.25">
      <c r="A12" s="167">
        <v>45217</v>
      </c>
      <c r="B12" s="155"/>
      <c r="C12" s="156"/>
      <c r="D12" s="184"/>
      <c r="E12" s="154"/>
      <c r="F12" s="151"/>
      <c r="G12" s="151"/>
      <c r="H12" s="151"/>
      <c r="I12" s="154"/>
      <c r="J12" s="154"/>
      <c r="K12" s="154"/>
      <c r="L12" s="154"/>
      <c r="M12" s="154"/>
      <c r="N12" s="154"/>
      <c r="O12" s="154"/>
      <c r="P12" s="157"/>
      <c r="Q12" s="170" t="s">
        <v>25</v>
      </c>
      <c r="R12" s="169"/>
      <c r="S12" s="174"/>
      <c r="T12" s="187">
        <f t="shared" si="0"/>
        <v>0</v>
      </c>
      <c r="U12" s="187">
        <f t="shared" si="1"/>
        <v>0</v>
      </c>
      <c r="V12" s="187">
        <f t="shared" si="2"/>
        <v>0</v>
      </c>
    </row>
    <row r="13" spans="1:22" x14ac:dyDescent="0.25">
      <c r="A13" s="167">
        <v>45217</v>
      </c>
      <c r="B13" s="155"/>
      <c r="C13" s="156"/>
      <c r="D13" s="184"/>
      <c r="E13" s="154"/>
      <c r="F13" s="151"/>
      <c r="G13" s="151"/>
      <c r="H13" s="151"/>
      <c r="I13" s="154"/>
      <c r="J13" s="154"/>
      <c r="K13" s="154"/>
      <c r="L13" s="154"/>
      <c r="M13" s="154"/>
      <c r="N13" s="154"/>
      <c r="O13" s="154"/>
      <c r="P13" s="157"/>
      <c r="Q13" s="181" t="s">
        <v>19</v>
      </c>
      <c r="R13" s="88"/>
      <c r="S13" s="174"/>
      <c r="T13" s="187">
        <f t="shared" si="0"/>
        <v>0</v>
      </c>
      <c r="U13" s="187">
        <f t="shared" si="1"/>
        <v>0</v>
      </c>
      <c r="V13" s="187">
        <f t="shared" si="2"/>
        <v>0</v>
      </c>
    </row>
    <row r="14" spans="1:22" x14ac:dyDescent="0.25">
      <c r="A14" s="167">
        <v>45217</v>
      </c>
      <c r="B14" s="155"/>
      <c r="C14" s="156"/>
      <c r="D14" s="184"/>
      <c r="E14" s="154"/>
      <c r="F14" s="151"/>
      <c r="G14" s="151"/>
      <c r="H14" s="151"/>
      <c r="I14" s="154"/>
      <c r="J14" s="154"/>
      <c r="K14" s="154"/>
      <c r="L14" s="154"/>
      <c r="M14" s="154"/>
      <c r="N14" s="154"/>
      <c r="O14" s="154"/>
      <c r="P14" s="157"/>
      <c r="Q14" s="181" t="s">
        <v>18</v>
      </c>
      <c r="R14" s="160"/>
      <c r="S14" s="188"/>
      <c r="T14" s="187">
        <f t="shared" si="0"/>
        <v>0</v>
      </c>
      <c r="U14" s="187">
        <f t="shared" si="1"/>
        <v>0</v>
      </c>
      <c r="V14" s="187">
        <f t="shared" si="2"/>
        <v>0</v>
      </c>
    </row>
    <row r="15" spans="1:22" x14ac:dyDescent="0.25">
      <c r="A15" s="167">
        <v>45217</v>
      </c>
      <c r="B15" s="155"/>
      <c r="C15" s="156"/>
      <c r="D15" s="184"/>
      <c r="E15" s="154"/>
      <c r="F15" s="151"/>
      <c r="G15" s="151"/>
      <c r="H15" s="151"/>
      <c r="I15" s="154"/>
      <c r="J15" s="154"/>
      <c r="K15" s="154"/>
      <c r="L15" s="154"/>
      <c r="M15" s="154"/>
      <c r="N15" s="154"/>
      <c r="O15" s="154"/>
      <c r="P15" s="157"/>
      <c r="Q15" s="160"/>
      <c r="R15" s="160"/>
      <c r="S15" s="188"/>
      <c r="T15" s="187">
        <f t="shared" si="0"/>
        <v>0</v>
      </c>
      <c r="U15" s="187">
        <f t="shared" si="1"/>
        <v>0</v>
      </c>
      <c r="V15" s="187">
        <f t="shared" si="2"/>
        <v>0</v>
      </c>
    </row>
    <row r="16" spans="1:22" x14ac:dyDescent="0.25">
      <c r="A16" s="167">
        <v>45217</v>
      </c>
      <c r="B16" s="155"/>
      <c r="C16" s="156"/>
      <c r="D16" s="184"/>
      <c r="E16" s="154"/>
      <c r="F16" s="151"/>
      <c r="G16" s="151"/>
      <c r="H16" s="151"/>
      <c r="I16" s="154"/>
      <c r="J16" s="154"/>
      <c r="K16" s="154"/>
      <c r="L16" s="154"/>
      <c r="M16" s="154"/>
      <c r="N16" s="154"/>
      <c r="O16" s="154"/>
      <c r="P16" s="157"/>
      <c r="Q16" s="160"/>
      <c r="R16" s="160"/>
      <c r="S16" s="188"/>
      <c r="T16" s="187">
        <f t="shared" si="0"/>
        <v>0</v>
      </c>
      <c r="U16" s="187">
        <f t="shared" si="1"/>
        <v>0</v>
      </c>
      <c r="V16" s="187">
        <f t="shared" si="2"/>
        <v>0</v>
      </c>
    </row>
    <row r="17" spans="1:22" x14ac:dyDescent="0.25">
      <c r="A17" s="167">
        <v>45217</v>
      </c>
      <c r="B17" s="155"/>
      <c r="C17" s="156"/>
      <c r="D17" s="184"/>
      <c r="E17" s="154"/>
      <c r="F17" s="151"/>
      <c r="G17" s="151"/>
      <c r="H17" s="151"/>
      <c r="I17" s="154"/>
      <c r="J17" s="154"/>
      <c r="K17" s="154"/>
      <c r="L17" s="154"/>
      <c r="M17" s="154"/>
      <c r="N17" s="154"/>
      <c r="O17" s="154"/>
      <c r="P17" s="157"/>
      <c r="Q17" s="157"/>
      <c r="R17" s="161"/>
      <c r="S17" s="188"/>
      <c r="T17" s="187">
        <f t="shared" si="0"/>
        <v>0</v>
      </c>
      <c r="U17" s="187">
        <f t="shared" si="1"/>
        <v>0</v>
      </c>
      <c r="V17" s="187">
        <f t="shared" si="2"/>
        <v>0</v>
      </c>
    </row>
    <row r="18" spans="1:22" x14ac:dyDescent="0.25">
      <c r="A18" s="167">
        <v>45217</v>
      </c>
      <c r="B18" s="155"/>
      <c r="C18" s="156"/>
      <c r="D18" s="184"/>
      <c r="E18" s="154"/>
      <c r="F18" s="151"/>
      <c r="G18" s="151"/>
      <c r="H18" s="151"/>
      <c r="I18" s="154"/>
      <c r="J18" s="154"/>
      <c r="K18" s="154"/>
      <c r="L18" s="154"/>
      <c r="M18" s="154"/>
      <c r="N18" s="154"/>
      <c r="O18" s="154"/>
      <c r="P18" s="157"/>
      <c r="Q18" s="157"/>
      <c r="R18" s="161"/>
      <c r="S18" s="188"/>
      <c r="T18" s="187">
        <f t="shared" si="0"/>
        <v>0</v>
      </c>
      <c r="U18" s="187">
        <f t="shared" si="1"/>
        <v>0</v>
      </c>
      <c r="V18" s="187">
        <f t="shared" si="2"/>
        <v>0</v>
      </c>
    </row>
    <row r="19" spans="1:22" x14ac:dyDescent="0.25">
      <c r="A19" s="167">
        <v>45217</v>
      </c>
      <c r="B19" s="155"/>
      <c r="C19" s="156"/>
      <c r="D19" s="184"/>
      <c r="E19" s="154"/>
      <c r="F19" s="151"/>
      <c r="G19" s="151"/>
      <c r="H19" s="151"/>
      <c r="I19" s="154"/>
      <c r="J19" s="154"/>
      <c r="K19" s="154"/>
      <c r="L19" s="154"/>
      <c r="M19" s="154"/>
      <c r="N19" s="154"/>
      <c r="O19" s="154"/>
      <c r="P19" s="157"/>
      <c r="Q19" s="157"/>
      <c r="R19" s="161"/>
      <c r="S19" s="188"/>
      <c r="T19" s="187">
        <f t="shared" si="0"/>
        <v>0</v>
      </c>
      <c r="U19" s="187">
        <f t="shared" si="1"/>
        <v>0</v>
      </c>
      <c r="V19" s="187">
        <f t="shared" si="2"/>
        <v>0</v>
      </c>
    </row>
    <row r="20" spans="1:22" x14ac:dyDescent="0.25">
      <c r="A20" s="167">
        <v>45217</v>
      </c>
      <c r="B20" s="155"/>
      <c r="C20" s="156"/>
      <c r="D20" s="184"/>
      <c r="E20" s="154"/>
      <c r="F20" s="151"/>
      <c r="G20" s="151"/>
      <c r="H20" s="151"/>
      <c r="I20" s="154"/>
      <c r="J20" s="154"/>
      <c r="K20" s="154"/>
      <c r="L20" s="154"/>
      <c r="M20" s="154"/>
      <c r="N20" s="154"/>
      <c r="O20" s="154"/>
      <c r="P20" s="157"/>
      <c r="Q20" s="157"/>
      <c r="R20" s="161"/>
      <c r="S20" s="188"/>
      <c r="T20" s="187">
        <f t="shared" si="0"/>
        <v>0</v>
      </c>
      <c r="U20" s="187">
        <f t="shared" si="1"/>
        <v>0</v>
      </c>
      <c r="V20" s="187">
        <f t="shared" si="2"/>
        <v>0</v>
      </c>
    </row>
    <row r="21" spans="1:22" x14ac:dyDescent="0.25">
      <c r="A21" s="167">
        <v>45217</v>
      </c>
      <c r="B21" s="155"/>
      <c r="C21" s="156"/>
      <c r="D21" s="184"/>
      <c r="E21" s="154"/>
      <c r="F21" s="151"/>
      <c r="G21" s="151"/>
      <c r="H21" s="151"/>
      <c r="I21" s="154"/>
      <c r="J21" s="154"/>
      <c r="K21" s="154"/>
      <c r="L21" s="154"/>
      <c r="M21" s="154"/>
      <c r="N21" s="154"/>
      <c r="O21" s="154"/>
      <c r="P21" s="157"/>
      <c r="Q21" s="88"/>
      <c r="R21" s="88"/>
      <c r="S21" s="188"/>
      <c r="T21" s="187">
        <f t="shared" si="0"/>
        <v>0</v>
      </c>
      <c r="U21" s="187">
        <f t="shared" si="1"/>
        <v>0</v>
      </c>
      <c r="V21" s="187">
        <f t="shared" si="2"/>
        <v>0</v>
      </c>
    </row>
    <row r="22" spans="1:22" x14ac:dyDescent="0.25">
      <c r="A22" s="167">
        <v>45217</v>
      </c>
      <c r="B22" s="155"/>
      <c r="C22" s="156"/>
      <c r="D22" s="184"/>
      <c r="E22" s="154"/>
      <c r="F22" s="151"/>
      <c r="G22" s="151"/>
      <c r="H22" s="151"/>
      <c r="I22" s="154"/>
      <c r="J22" s="154"/>
      <c r="K22" s="154"/>
      <c r="L22" s="154"/>
      <c r="M22" s="154"/>
      <c r="N22" s="154"/>
      <c r="O22" s="154"/>
      <c r="P22" s="157"/>
      <c r="Q22" s="88"/>
      <c r="R22" s="88"/>
      <c r="S22" s="188"/>
      <c r="T22" s="187">
        <f t="shared" si="0"/>
        <v>0</v>
      </c>
      <c r="U22" s="187">
        <f t="shared" si="1"/>
        <v>0</v>
      </c>
      <c r="V22" s="187">
        <f t="shared" si="2"/>
        <v>0</v>
      </c>
    </row>
    <row r="23" spans="1:22" x14ac:dyDescent="0.25">
      <c r="A23" s="167">
        <v>45217</v>
      </c>
      <c r="B23" s="155"/>
      <c r="C23" s="156"/>
      <c r="D23" s="184"/>
      <c r="E23" s="154"/>
      <c r="F23" s="151"/>
      <c r="G23" s="151"/>
      <c r="H23" s="151"/>
      <c r="I23" s="154"/>
      <c r="J23" s="154"/>
      <c r="K23" s="154"/>
      <c r="L23" s="154"/>
      <c r="M23" s="154"/>
      <c r="N23" s="154"/>
      <c r="O23" s="154"/>
      <c r="P23" s="157"/>
      <c r="Q23" s="88"/>
      <c r="R23" s="88"/>
      <c r="S23" s="188"/>
      <c r="T23" s="187">
        <f t="shared" si="0"/>
        <v>0</v>
      </c>
      <c r="U23" s="187">
        <f t="shared" si="1"/>
        <v>0</v>
      </c>
      <c r="V23" s="187">
        <f t="shared" si="2"/>
        <v>0</v>
      </c>
    </row>
    <row r="24" spans="1:22" x14ac:dyDescent="0.25">
      <c r="A24" s="167">
        <v>45217</v>
      </c>
      <c r="B24" s="155"/>
      <c r="C24" s="156"/>
      <c r="D24" s="184"/>
      <c r="E24" s="154"/>
      <c r="F24" s="151"/>
      <c r="G24" s="151"/>
      <c r="H24" s="151"/>
      <c r="I24" s="154"/>
      <c r="J24" s="154"/>
      <c r="K24" s="154"/>
      <c r="L24" s="154"/>
      <c r="M24" s="154"/>
      <c r="N24" s="154"/>
      <c r="O24" s="154"/>
      <c r="P24" s="157"/>
      <c r="Q24" s="88"/>
      <c r="R24" s="88"/>
      <c r="S24" s="188"/>
      <c r="T24" s="187">
        <f t="shared" si="0"/>
        <v>0</v>
      </c>
      <c r="U24" s="187">
        <f t="shared" si="1"/>
        <v>0</v>
      </c>
      <c r="V24" s="187">
        <f t="shared" si="2"/>
        <v>0</v>
      </c>
    </row>
    <row r="25" spans="1:22" x14ac:dyDescent="0.25">
      <c r="A25" s="167">
        <v>45217</v>
      </c>
      <c r="B25" s="16"/>
      <c r="C25" s="6"/>
      <c r="D25" s="185"/>
      <c r="E25" s="15"/>
      <c r="F25" s="151"/>
      <c r="G25" s="151"/>
      <c r="H25" s="151"/>
      <c r="I25" s="15"/>
      <c r="J25" s="15"/>
      <c r="K25" s="15"/>
      <c r="L25" s="154"/>
      <c r="M25" s="15"/>
      <c r="N25" s="15"/>
      <c r="O25" s="15"/>
      <c r="Q25"/>
      <c r="R25"/>
      <c r="S25" s="188"/>
      <c r="T25" s="187">
        <f t="shared" si="0"/>
        <v>0</v>
      </c>
      <c r="U25" s="187">
        <f t="shared" si="1"/>
        <v>0</v>
      </c>
      <c r="V25" s="187">
        <f t="shared" si="2"/>
        <v>0</v>
      </c>
    </row>
    <row r="26" spans="1:22" x14ac:dyDescent="0.25">
      <c r="A26" s="167">
        <v>45217</v>
      </c>
      <c r="B26" s="16"/>
      <c r="C26" s="6"/>
      <c r="D26" s="185"/>
      <c r="E26" s="15"/>
      <c r="F26" s="151"/>
      <c r="G26" s="151"/>
      <c r="H26" s="151"/>
      <c r="I26" s="15"/>
      <c r="J26" s="15"/>
      <c r="K26" s="15"/>
      <c r="L26" s="154"/>
      <c r="M26" s="15"/>
      <c r="N26" s="15"/>
      <c r="O26" s="15"/>
      <c r="Q26"/>
      <c r="R26"/>
      <c r="S26" s="188"/>
      <c r="T26" s="187">
        <f t="shared" si="0"/>
        <v>0</v>
      </c>
      <c r="U26" s="187">
        <f t="shared" si="1"/>
        <v>0</v>
      </c>
      <c r="V26" s="187">
        <f t="shared" si="2"/>
        <v>0</v>
      </c>
    </row>
    <row r="27" spans="1:22" x14ac:dyDescent="0.25">
      <c r="A27" s="167">
        <v>45217</v>
      </c>
      <c r="B27" s="16"/>
      <c r="C27" s="6"/>
      <c r="D27" s="185"/>
      <c r="E27" s="15"/>
      <c r="F27" s="151"/>
      <c r="G27" s="151"/>
      <c r="H27" s="151"/>
      <c r="I27" s="15"/>
      <c r="J27" s="15"/>
      <c r="K27" s="15"/>
      <c r="L27" s="154"/>
      <c r="M27" s="15"/>
      <c r="N27" s="15"/>
      <c r="O27" s="15"/>
      <c r="R27" s="5"/>
      <c r="S27" s="188"/>
      <c r="T27" s="187">
        <f t="shared" si="0"/>
        <v>0</v>
      </c>
      <c r="U27" s="187">
        <f t="shared" si="1"/>
        <v>0</v>
      </c>
      <c r="V27" s="187">
        <f t="shared" si="2"/>
        <v>0</v>
      </c>
    </row>
    <row r="28" spans="1:22" x14ac:dyDescent="0.25">
      <c r="A28" s="167">
        <v>45217</v>
      </c>
      <c r="B28" s="16"/>
      <c r="C28" s="6"/>
      <c r="D28" s="185"/>
      <c r="E28" s="15"/>
      <c r="F28" s="151"/>
      <c r="G28" s="151"/>
      <c r="H28" s="151"/>
      <c r="I28" s="15"/>
      <c r="J28" s="15"/>
      <c r="K28" s="15"/>
      <c r="L28" s="154"/>
      <c r="M28" s="15"/>
      <c r="N28" s="15"/>
      <c r="O28" s="15"/>
      <c r="R28" s="5"/>
      <c r="S28" s="188"/>
      <c r="T28" s="187">
        <f t="shared" si="0"/>
        <v>0</v>
      </c>
      <c r="U28" s="187">
        <f t="shared" si="1"/>
        <v>0</v>
      </c>
      <c r="V28" s="187">
        <f t="shared" si="2"/>
        <v>0</v>
      </c>
    </row>
    <row r="29" spans="1:22" x14ac:dyDescent="0.25">
      <c r="A29" s="167">
        <v>45217</v>
      </c>
      <c r="B29" s="14"/>
      <c r="C29" s="6"/>
      <c r="D29" s="185"/>
      <c r="E29" s="15"/>
      <c r="F29" s="151"/>
      <c r="G29" s="151"/>
      <c r="H29" s="151"/>
      <c r="I29" s="15"/>
      <c r="J29" s="15"/>
      <c r="K29" s="15"/>
      <c r="L29" s="154"/>
      <c r="M29" s="15"/>
      <c r="N29" s="15"/>
      <c r="O29" s="15"/>
      <c r="R29" s="5"/>
      <c r="S29" s="188"/>
      <c r="T29" s="187">
        <f t="shared" si="0"/>
        <v>0</v>
      </c>
      <c r="U29" s="187">
        <f t="shared" si="1"/>
        <v>0</v>
      </c>
      <c r="V29" s="187">
        <f t="shared" si="2"/>
        <v>0</v>
      </c>
    </row>
    <row r="30" spans="1:22" x14ac:dyDescent="0.25">
      <c r="A30" s="167">
        <v>45217</v>
      </c>
      <c r="B30" s="16"/>
      <c r="C30" s="6"/>
      <c r="D30" s="185"/>
      <c r="E30" s="15"/>
      <c r="F30" s="151"/>
      <c r="G30" s="151"/>
      <c r="H30" s="151"/>
      <c r="I30" s="15"/>
      <c r="J30" s="15"/>
      <c r="K30" s="15"/>
      <c r="L30" s="154"/>
      <c r="M30" s="15"/>
      <c r="N30" s="15"/>
      <c r="O30" s="15"/>
      <c r="R30" s="5"/>
      <c r="S30" s="188"/>
      <c r="T30" s="187">
        <f t="shared" si="0"/>
        <v>0</v>
      </c>
      <c r="U30" s="187">
        <f t="shared" si="1"/>
        <v>0</v>
      </c>
      <c r="V30" s="187">
        <f t="shared" si="2"/>
        <v>0</v>
      </c>
    </row>
    <row r="31" spans="1:22" x14ac:dyDescent="0.25">
      <c r="A31" s="167">
        <v>45217</v>
      </c>
      <c r="B31" s="16"/>
      <c r="C31" s="6"/>
      <c r="D31" s="185"/>
      <c r="E31" s="15"/>
      <c r="F31" s="151"/>
      <c r="G31" s="151"/>
      <c r="H31" s="151"/>
      <c r="I31" s="15"/>
      <c r="J31" s="15"/>
      <c r="K31" s="15"/>
      <c r="L31" s="15"/>
      <c r="M31" s="15"/>
      <c r="N31" s="15"/>
      <c r="O31" s="15"/>
      <c r="R31" s="5"/>
      <c r="S31" s="188"/>
      <c r="T31" s="187">
        <f t="shared" si="0"/>
        <v>0</v>
      </c>
      <c r="U31" s="187">
        <f t="shared" si="1"/>
        <v>0</v>
      </c>
      <c r="V31" s="187">
        <f t="shared" si="2"/>
        <v>0</v>
      </c>
    </row>
    <row r="32" spans="1:22" x14ac:dyDescent="0.25">
      <c r="A32" s="167">
        <v>45217</v>
      </c>
      <c r="B32" s="16"/>
      <c r="C32" s="6"/>
      <c r="D32" s="185"/>
      <c r="E32" s="15"/>
      <c r="F32" s="151"/>
      <c r="G32" s="151"/>
      <c r="H32" s="151"/>
      <c r="I32" s="15"/>
      <c r="J32" s="15"/>
      <c r="K32" s="15"/>
      <c r="L32" s="15"/>
      <c r="M32" s="15"/>
      <c r="N32" s="15"/>
      <c r="O32" s="15"/>
      <c r="R32" s="5"/>
      <c r="S32" s="188"/>
      <c r="T32" s="187">
        <f t="shared" si="0"/>
        <v>0</v>
      </c>
      <c r="U32" s="187">
        <f t="shared" si="1"/>
        <v>0</v>
      </c>
      <c r="V32" s="187">
        <f t="shared" si="2"/>
        <v>0</v>
      </c>
    </row>
    <row r="33" spans="1:22" x14ac:dyDescent="0.25">
      <c r="A33" s="167">
        <v>45217</v>
      </c>
      <c r="B33" s="16"/>
      <c r="C33" s="6"/>
      <c r="D33" s="185"/>
      <c r="E33" s="15"/>
      <c r="F33" s="151"/>
      <c r="G33" s="151"/>
      <c r="H33" s="151"/>
      <c r="I33" s="15"/>
      <c r="J33" s="15"/>
      <c r="K33" s="15"/>
      <c r="L33" s="15"/>
      <c r="M33" s="15"/>
      <c r="N33" s="15"/>
      <c r="O33" s="15"/>
      <c r="R33" s="5"/>
      <c r="S33" s="188"/>
      <c r="T33" s="187">
        <f t="shared" si="0"/>
        <v>0</v>
      </c>
      <c r="U33" s="187">
        <f t="shared" si="1"/>
        <v>0</v>
      </c>
      <c r="V33" s="187">
        <f t="shared" si="2"/>
        <v>0</v>
      </c>
    </row>
    <row r="34" spans="1:22" x14ac:dyDescent="0.25">
      <c r="A34" s="167">
        <v>45217</v>
      </c>
      <c r="B34" s="14"/>
      <c r="C34" s="6"/>
      <c r="D34" s="185"/>
      <c r="E34" s="15"/>
      <c r="F34" s="151"/>
      <c r="G34" s="151"/>
      <c r="H34" s="151"/>
      <c r="I34" s="15"/>
      <c r="J34" s="15"/>
      <c r="K34" s="15"/>
      <c r="L34" s="15"/>
      <c r="M34" s="15"/>
      <c r="N34" s="15"/>
      <c r="O34" s="15"/>
      <c r="R34" s="5"/>
      <c r="S34" s="188"/>
      <c r="T34" s="187">
        <f t="shared" si="0"/>
        <v>0</v>
      </c>
      <c r="U34" s="187">
        <f t="shared" si="1"/>
        <v>0</v>
      </c>
      <c r="V34" s="187">
        <f t="shared" si="2"/>
        <v>0</v>
      </c>
    </row>
    <row r="35" spans="1:22" x14ac:dyDescent="0.25">
      <c r="A35" s="167">
        <v>45217</v>
      </c>
      <c r="B35" s="16"/>
      <c r="C35" s="6"/>
      <c r="D35" s="185"/>
      <c r="E35" s="15"/>
      <c r="F35" s="151"/>
      <c r="G35" s="151"/>
      <c r="H35" s="151"/>
      <c r="I35" s="15"/>
      <c r="J35" s="15"/>
      <c r="K35" s="15"/>
      <c r="L35" s="15"/>
      <c r="M35" s="15"/>
      <c r="N35" s="15"/>
      <c r="O35" s="15"/>
      <c r="R35" s="5"/>
      <c r="S35" s="188"/>
      <c r="T35" s="187">
        <f t="shared" si="0"/>
        <v>0</v>
      </c>
      <c r="U35" s="187">
        <f t="shared" si="1"/>
        <v>0</v>
      </c>
      <c r="V35" s="187">
        <f t="shared" si="2"/>
        <v>0</v>
      </c>
    </row>
    <row r="36" spans="1:22" x14ac:dyDescent="0.25">
      <c r="A36" s="167">
        <v>45217</v>
      </c>
      <c r="B36" s="16"/>
      <c r="C36" s="6"/>
      <c r="D36" s="185"/>
      <c r="E36" s="15"/>
      <c r="F36" s="151"/>
      <c r="G36" s="151"/>
      <c r="H36" s="151"/>
      <c r="I36" s="15"/>
      <c r="J36" s="15"/>
      <c r="K36" s="15"/>
      <c r="L36" s="15"/>
      <c r="M36" s="15"/>
      <c r="N36" s="15"/>
      <c r="O36" s="15"/>
      <c r="R36" s="5"/>
      <c r="S36" s="188"/>
      <c r="T36" s="187">
        <f t="shared" si="0"/>
        <v>0</v>
      </c>
      <c r="U36" s="187">
        <f t="shared" si="1"/>
        <v>0</v>
      </c>
      <c r="V36" s="187">
        <f t="shared" si="2"/>
        <v>0</v>
      </c>
    </row>
    <row r="37" spans="1:22" x14ac:dyDescent="0.25">
      <c r="A37" s="167">
        <v>45217</v>
      </c>
      <c r="B37" s="16"/>
      <c r="C37" s="6"/>
      <c r="D37" s="185"/>
      <c r="E37" s="15"/>
      <c r="F37" s="151"/>
      <c r="G37" s="151"/>
      <c r="H37" s="151"/>
      <c r="I37" s="15"/>
      <c r="J37" s="15"/>
      <c r="K37" s="15"/>
      <c r="L37" s="15"/>
      <c r="M37" s="15"/>
      <c r="N37" s="15"/>
      <c r="O37" s="15"/>
      <c r="R37" s="5"/>
      <c r="S37" s="188"/>
      <c r="T37" s="187">
        <f t="shared" si="0"/>
        <v>0</v>
      </c>
      <c r="U37" s="187">
        <f t="shared" si="1"/>
        <v>0</v>
      </c>
      <c r="V37" s="187">
        <f t="shared" si="2"/>
        <v>0</v>
      </c>
    </row>
    <row r="38" spans="1:22" x14ac:dyDescent="0.25">
      <c r="A38" s="167">
        <v>45217</v>
      </c>
      <c r="B38" s="14"/>
      <c r="C38" s="6"/>
      <c r="D38" s="185"/>
      <c r="E38" s="15"/>
      <c r="F38" s="151"/>
      <c r="G38" s="151"/>
      <c r="H38" s="151"/>
      <c r="I38" s="15"/>
      <c r="J38" s="15"/>
      <c r="K38" s="15"/>
      <c r="L38" s="15"/>
      <c r="M38" s="15"/>
      <c r="N38" s="15"/>
      <c r="O38" s="15"/>
      <c r="R38" s="5"/>
      <c r="S38" s="188"/>
      <c r="T38" s="187">
        <f t="shared" si="0"/>
        <v>0</v>
      </c>
      <c r="U38" s="187">
        <f t="shared" si="1"/>
        <v>0</v>
      </c>
      <c r="V38" s="187">
        <f t="shared" si="2"/>
        <v>0</v>
      </c>
    </row>
    <row r="39" spans="1:22" x14ac:dyDescent="0.25">
      <c r="A39" s="167">
        <v>45217</v>
      </c>
      <c r="B39" s="16"/>
      <c r="C39" s="6"/>
      <c r="D39" s="185"/>
      <c r="E39" s="15"/>
      <c r="F39" s="151"/>
      <c r="G39" s="151"/>
      <c r="H39" s="151"/>
      <c r="I39" s="15"/>
      <c r="J39" s="15"/>
      <c r="K39" s="15"/>
      <c r="L39" s="15"/>
      <c r="M39" s="15"/>
      <c r="N39" s="15"/>
      <c r="O39" s="15"/>
      <c r="R39" s="5"/>
      <c r="S39" s="188"/>
      <c r="T39" s="187">
        <f t="shared" si="0"/>
        <v>0</v>
      </c>
      <c r="U39" s="187">
        <f t="shared" si="1"/>
        <v>0</v>
      </c>
      <c r="V39" s="187">
        <f t="shared" si="2"/>
        <v>0</v>
      </c>
    </row>
    <row r="40" spans="1:22" x14ac:dyDescent="0.25">
      <c r="A40" s="167">
        <v>45217</v>
      </c>
      <c r="B40" s="14"/>
      <c r="C40" s="6"/>
      <c r="D40" s="185"/>
      <c r="E40" s="15"/>
      <c r="F40" s="151"/>
      <c r="G40" s="151"/>
      <c r="H40" s="151"/>
      <c r="I40" s="15"/>
      <c r="J40" s="15"/>
      <c r="K40" s="15"/>
      <c r="L40" s="15"/>
      <c r="M40" s="15"/>
      <c r="N40" s="15"/>
      <c r="O40" s="15"/>
      <c r="R40" s="5"/>
      <c r="S40" s="188"/>
      <c r="T40" s="187">
        <f t="shared" si="0"/>
        <v>0</v>
      </c>
      <c r="U40" s="187">
        <f t="shared" si="1"/>
        <v>0</v>
      </c>
      <c r="V40" s="187">
        <f t="shared" si="2"/>
        <v>0</v>
      </c>
    </row>
    <row r="41" spans="1:22" x14ac:dyDescent="0.25">
      <c r="A41" s="167">
        <v>45217</v>
      </c>
      <c r="B41" s="16"/>
      <c r="C41" s="6"/>
      <c r="D41" s="185"/>
      <c r="E41" s="15"/>
      <c r="F41" s="151"/>
      <c r="G41" s="151"/>
      <c r="H41" s="151"/>
      <c r="I41" s="15"/>
      <c r="J41" s="15"/>
      <c r="K41" s="15"/>
      <c r="L41" s="15"/>
      <c r="M41" s="15"/>
      <c r="N41" s="15"/>
      <c r="O41" s="15"/>
      <c r="R41" s="5"/>
      <c r="S41" s="188"/>
      <c r="T41" s="187">
        <f t="shared" si="0"/>
        <v>0</v>
      </c>
      <c r="U41" s="187">
        <f t="shared" si="1"/>
        <v>0</v>
      </c>
      <c r="V41" s="187">
        <f t="shared" si="2"/>
        <v>0</v>
      </c>
    </row>
    <row r="42" spans="1:22" x14ac:dyDescent="0.25">
      <c r="A42" s="167">
        <v>45217</v>
      </c>
      <c r="B42" s="14"/>
      <c r="C42" s="6"/>
      <c r="D42" s="185"/>
      <c r="E42" s="15"/>
      <c r="F42" s="151"/>
      <c r="G42" s="151"/>
      <c r="H42" s="151"/>
      <c r="I42" s="15"/>
      <c r="J42" s="15"/>
      <c r="K42" s="15"/>
      <c r="L42" s="15"/>
      <c r="M42" s="15"/>
      <c r="N42" s="15"/>
      <c r="O42" s="15"/>
      <c r="R42" s="5"/>
      <c r="S42" s="188"/>
      <c r="T42" s="187">
        <f t="shared" si="0"/>
        <v>0</v>
      </c>
      <c r="U42" s="187">
        <f t="shared" si="1"/>
        <v>0</v>
      </c>
      <c r="V42" s="187">
        <f t="shared" si="2"/>
        <v>0</v>
      </c>
    </row>
    <row r="43" spans="1:22" x14ac:dyDescent="0.25">
      <c r="A43" s="167">
        <v>45217</v>
      </c>
      <c r="B43" s="16"/>
      <c r="C43" s="6"/>
      <c r="D43" s="185"/>
      <c r="E43" s="15"/>
      <c r="F43" s="151"/>
      <c r="G43" s="151"/>
      <c r="H43" s="151"/>
      <c r="I43" s="15"/>
      <c r="J43" s="15"/>
      <c r="K43" s="15"/>
      <c r="L43" s="15"/>
      <c r="M43" s="15"/>
      <c r="N43" s="15"/>
      <c r="O43" s="15"/>
      <c r="R43" s="5"/>
      <c r="S43" s="188"/>
      <c r="T43" s="187">
        <f t="shared" si="0"/>
        <v>0</v>
      </c>
      <c r="U43" s="187">
        <f t="shared" si="1"/>
        <v>0</v>
      </c>
      <c r="V43" s="187">
        <f t="shared" si="2"/>
        <v>0</v>
      </c>
    </row>
    <row r="44" spans="1:22" x14ac:dyDescent="0.25">
      <c r="A44" s="167">
        <v>45217</v>
      </c>
      <c r="B44" s="16"/>
      <c r="C44" s="6"/>
      <c r="D44" s="185"/>
      <c r="E44" s="15"/>
      <c r="F44" s="151"/>
      <c r="G44" s="151"/>
      <c r="H44" s="151"/>
      <c r="I44" s="15"/>
      <c r="J44" s="15"/>
      <c r="K44" s="15"/>
      <c r="L44" s="15"/>
      <c r="M44" s="15"/>
      <c r="N44" s="15"/>
      <c r="O44" s="15"/>
      <c r="R44" s="5"/>
      <c r="S44" s="188"/>
      <c r="T44" s="187">
        <f t="shared" si="0"/>
        <v>0</v>
      </c>
      <c r="U44" s="187">
        <f t="shared" si="1"/>
        <v>0</v>
      </c>
      <c r="V44" s="187">
        <f t="shared" si="2"/>
        <v>0</v>
      </c>
    </row>
    <row r="45" spans="1:22" x14ac:dyDescent="0.25">
      <c r="A45" s="167">
        <v>45217</v>
      </c>
      <c r="B45" s="14"/>
      <c r="C45" s="6"/>
      <c r="D45" s="185"/>
      <c r="E45" s="15"/>
      <c r="F45" s="151"/>
      <c r="G45" s="151"/>
      <c r="H45" s="151"/>
      <c r="I45" s="15"/>
      <c r="J45" s="15"/>
      <c r="K45" s="15"/>
      <c r="L45" s="15"/>
      <c r="M45" s="15"/>
      <c r="N45" s="15"/>
      <c r="O45" s="15"/>
      <c r="R45" s="5"/>
      <c r="S45" s="188"/>
      <c r="T45" s="187">
        <f t="shared" si="0"/>
        <v>0</v>
      </c>
      <c r="U45" s="187">
        <f t="shared" si="1"/>
        <v>0</v>
      </c>
      <c r="V45" s="187">
        <f t="shared" si="2"/>
        <v>0</v>
      </c>
    </row>
    <row r="46" spans="1:22" x14ac:dyDescent="0.25">
      <c r="A46" s="167">
        <v>45217</v>
      </c>
      <c r="B46" s="16"/>
      <c r="C46" s="6"/>
      <c r="D46" s="185"/>
      <c r="E46" s="15"/>
      <c r="F46" s="151"/>
      <c r="G46" s="151"/>
      <c r="H46" s="151"/>
      <c r="I46" s="15"/>
      <c r="J46" s="15"/>
      <c r="K46" s="15"/>
      <c r="L46" s="15"/>
      <c r="M46" s="15"/>
      <c r="N46" s="15"/>
      <c r="O46" s="15"/>
      <c r="R46" s="5"/>
      <c r="S46" s="188"/>
      <c r="T46" s="187">
        <f t="shared" si="0"/>
        <v>0</v>
      </c>
      <c r="U46" s="187">
        <f t="shared" si="1"/>
        <v>0</v>
      </c>
      <c r="V46" s="187">
        <f t="shared" si="2"/>
        <v>0</v>
      </c>
    </row>
    <row r="47" spans="1:22" x14ac:dyDescent="0.25">
      <c r="A47" s="167">
        <v>45217</v>
      </c>
      <c r="B47" s="16"/>
      <c r="C47" s="6"/>
      <c r="D47" s="185"/>
      <c r="E47" s="15"/>
      <c r="F47" s="151"/>
      <c r="G47" s="151"/>
      <c r="H47" s="151"/>
      <c r="I47" s="15"/>
      <c r="J47" s="15"/>
      <c r="K47" s="15"/>
      <c r="L47" s="15"/>
      <c r="M47" s="15"/>
      <c r="N47" s="15"/>
      <c r="O47" s="15"/>
      <c r="R47" s="5"/>
      <c r="S47" s="188"/>
      <c r="T47" s="187">
        <f t="shared" si="0"/>
        <v>0</v>
      </c>
      <c r="U47" s="187">
        <f t="shared" si="1"/>
        <v>0</v>
      </c>
      <c r="V47" s="187">
        <f t="shared" si="2"/>
        <v>0</v>
      </c>
    </row>
    <row r="48" spans="1:22" x14ac:dyDescent="0.25">
      <c r="A48" s="167">
        <v>45217</v>
      </c>
      <c r="B48" s="16"/>
      <c r="C48" s="6"/>
      <c r="D48" s="185"/>
      <c r="E48" s="15"/>
      <c r="F48" s="151"/>
      <c r="G48" s="151"/>
      <c r="H48" s="151"/>
      <c r="I48" s="15"/>
      <c r="J48" s="15"/>
      <c r="K48" s="15"/>
      <c r="L48" s="15"/>
      <c r="M48" s="15"/>
      <c r="N48" s="15"/>
      <c r="O48" s="15"/>
      <c r="R48" s="5"/>
      <c r="S48" s="188"/>
      <c r="T48" s="187">
        <f t="shared" si="0"/>
        <v>0</v>
      </c>
      <c r="U48" s="187">
        <f t="shared" si="1"/>
        <v>0</v>
      </c>
      <c r="V48" s="187">
        <f t="shared" si="2"/>
        <v>0</v>
      </c>
    </row>
    <row r="49" spans="1:22" x14ac:dyDescent="0.25">
      <c r="A49" s="167">
        <v>45217</v>
      </c>
      <c r="B49" s="14"/>
      <c r="C49" s="6"/>
      <c r="D49" s="185"/>
      <c r="E49" s="15"/>
      <c r="F49" s="151"/>
      <c r="G49" s="151"/>
      <c r="H49" s="151"/>
      <c r="I49" s="15"/>
      <c r="J49" s="15"/>
      <c r="K49" s="15"/>
      <c r="L49" s="15"/>
      <c r="M49" s="15"/>
      <c r="N49" s="15"/>
      <c r="O49" s="15"/>
      <c r="R49" s="5"/>
      <c r="S49" s="188"/>
      <c r="T49" s="187">
        <f t="shared" si="0"/>
        <v>0</v>
      </c>
      <c r="U49" s="187">
        <f t="shared" si="1"/>
        <v>0</v>
      </c>
      <c r="V49" s="187">
        <f t="shared" si="2"/>
        <v>0</v>
      </c>
    </row>
    <row r="50" spans="1:22" x14ac:dyDescent="0.25">
      <c r="A50" s="167">
        <v>45217</v>
      </c>
      <c r="B50" s="14"/>
      <c r="C50" s="6"/>
      <c r="D50" s="185"/>
      <c r="E50" s="15"/>
      <c r="F50" s="151"/>
      <c r="G50" s="151"/>
      <c r="H50" s="151"/>
      <c r="I50" s="15"/>
      <c r="J50" s="15"/>
      <c r="K50" s="15"/>
      <c r="L50" s="15"/>
      <c r="M50" s="15"/>
      <c r="N50" s="15"/>
      <c r="O50" s="15"/>
      <c r="R50" s="5"/>
      <c r="S50" s="188"/>
      <c r="T50" s="187">
        <f t="shared" si="0"/>
        <v>0</v>
      </c>
      <c r="U50" s="187">
        <f t="shared" si="1"/>
        <v>0</v>
      </c>
      <c r="V50" s="187">
        <f t="shared" si="2"/>
        <v>0</v>
      </c>
    </row>
    <row r="51" spans="1:22" x14ac:dyDescent="0.25">
      <c r="A51" s="167">
        <v>45217</v>
      </c>
      <c r="B51" s="14"/>
      <c r="C51" s="6"/>
      <c r="D51" s="185"/>
      <c r="E51" s="15"/>
      <c r="F51" s="151"/>
      <c r="G51" s="151"/>
      <c r="H51" s="151"/>
      <c r="I51" s="15"/>
      <c r="J51" s="15"/>
      <c r="K51" s="15"/>
      <c r="L51" s="15"/>
      <c r="M51" s="15"/>
      <c r="N51" s="15"/>
      <c r="O51" s="15"/>
      <c r="R51" s="5"/>
      <c r="S51" s="188"/>
      <c r="T51" s="187">
        <f t="shared" si="0"/>
        <v>0</v>
      </c>
      <c r="U51" s="187">
        <f t="shared" si="1"/>
        <v>0</v>
      </c>
      <c r="V51" s="187">
        <f t="shared" si="2"/>
        <v>0</v>
      </c>
    </row>
    <row r="52" spans="1:22" x14ac:dyDescent="0.25">
      <c r="A52" s="167">
        <v>45217</v>
      </c>
      <c r="B52" s="16"/>
      <c r="C52" s="6"/>
      <c r="D52" s="185"/>
      <c r="E52" s="15"/>
      <c r="F52" s="151"/>
      <c r="G52" s="151"/>
      <c r="H52" s="151"/>
      <c r="I52" s="15"/>
      <c r="J52" s="15"/>
      <c r="K52" s="15"/>
      <c r="L52" s="15"/>
      <c r="M52" s="15"/>
      <c r="N52" s="15"/>
      <c r="O52" s="15"/>
      <c r="R52" s="5"/>
      <c r="S52" s="188"/>
      <c r="T52" s="187">
        <f t="shared" si="0"/>
        <v>0</v>
      </c>
      <c r="U52" s="187">
        <f t="shared" si="1"/>
        <v>0</v>
      </c>
      <c r="V52" s="187">
        <f t="shared" si="2"/>
        <v>0</v>
      </c>
    </row>
    <row r="53" spans="1:22" x14ac:dyDescent="0.25">
      <c r="A53" s="167">
        <v>45217</v>
      </c>
      <c r="B53" s="14"/>
      <c r="C53" s="6"/>
      <c r="D53" s="185"/>
      <c r="E53" s="15"/>
      <c r="F53" s="151"/>
      <c r="G53" s="151"/>
      <c r="H53" s="151"/>
      <c r="I53" s="15"/>
      <c r="J53" s="15"/>
      <c r="K53" s="15"/>
      <c r="L53" s="15"/>
      <c r="M53" s="15"/>
      <c r="N53" s="15"/>
      <c r="O53" s="15"/>
      <c r="R53" s="5"/>
      <c r="S53" s="188"/>
      <c r="T53" s="187">
        <f t="shared" si="0"/>
        <v>0</v>
      </c>
      <c r="U53" s="187">
        <f t="shared" si="1"/>
        <v>0</v>
      </c>
      <c r="V53" s="187">
        <f t="shared" si="2"/>
        <v>0</v>
      </c>
    </row>
    <row r="54" spans="1:22" x14ac:dyDescent="0.25">
      <c r="A54" s="167">
        <v>45217</v>
      </c>
      <c r="B54" s="16"/>
      <c r="C54" s="6"/>
      <c r="D54" s="185"/>
      <c r="E54" s="15"/>
      <c r="F54" s="151"/>
      <c r="G54" s="151"/>
      <c r="H54" s="151"/>
      <c r="I54" s="15"/>
      <c r="J54" s="15"/>
      <c r="K54" s="15"/>
      <c r="L54" s="15"/>
      <c r="M54" s="15"/>
      <c r="N54" s="15"/>
      <c r="O54" s="15"/>
      <c r="R54" s="5"/>
      <c r="S54" s="188"/>
      <c r="T54" s="187">
        <f t="shared" si="0"/>
        <v>0</v>
      </c>
      <c r="U54" s="187">
        <f t="shared" si="1"/>
        <v>0</v>
      </c>
      <c r="V54" s="187">
        <f t="shared" si="2"/>
        <v>0</v>
      </c>
    </row>
    <row r="55" spans="1:22" x14ac:dyDescent="0.25">
      <c r="A55" s="167">
        <v>45217</v>
      </c>
      <c r="B55" s="14"/>
      <c r="C55" s="6"/>
      <c r="D55" s="185"/>
      <c r="E55" s="15"/>
      <c r="F55" s="151"/>
      <c r="G55" s="151"/>
      <c r="H55" s="151"/>
      <c r="I55" s="15"/>
      <c r="J55" s="15"/>
      <c r="K55" s="15"/>
      <c r="L55" s="15"/>
      <c r="M55" s="15"/>
      <c r="N55" s="15"/>
      <c r="O55" s="15"/>
      <c r="R55" s="5"/>
      <c r="S55" s="188"/>
      <c r="T55" s="187">
        <f t="shared" si="0"/>
        <v>0</v>
      </c>
      <c r="U55" s="187">
        <f t="shared" si="1"/>
        <v>0</v>
      </c>
      <c r="V55" s="187">
        <f t="shared" si="2"/>
        <v>0</v>
      </c>
    </row>
    <row r="56" spans="1:22" x14ac:dyDescent="0.25">
      <c r="A56" s="167">
        <v>45217</v>
      </c>
      <c r="B56" s="16"/>
      <c r="C56" s="6"/>
      <c r="D56" s="185"/>
      <c r="E56" s="15"/>
      <c r="F56" s="151"/>
      <c r="G56" s="151"/>
      <c r="H56" s="151"/>
      <c r="I56" s="15"/>
      <c r="J56" s="15"/>
      <c r="K56" s="15"/>
      <c r="L56" s="15"/>
      <c r="M56" s="15"/>
      <c r="N56" s="15"/>
      <c r="O56" s="15"/>
      <c r="R56" s="5"/>
      <c r="S56" s="188"/>
      <c r="T56" s="187">
        <f t="shared" si="0"/>
        <v>0</v>
      </c>
      <c r="U56" s="187">
        <f t="shared" si="1"/>
        <v>0</v>
      </c>
      <c r="V56" s="187">
        <f t="shared" si="2"/>
        <v>0</v>
      </c>
    </row>
    <row r="57" spans="1:22" x14ac:dyDescent="0.25">
      <c r="A57" s="167">
        <v>45217</v>
      </c>
      <c r="B57" s="14"/>
      <c r="C57" s="6"/>
      <c r="D57" s="185"/>
      <c r="E57" s="15"/>
      <c r="F57" s="151"/>
      <c r="G57" s="151"/>
      <c r="H57" s="151"/>
      <c r="I57" s="15"/>
      <c r="J57" s="15"/>
      <c r="K57" s="15"/>
      <c r="L57" s="15"/>
      <c r="M57" s="15"/>
      <c r="N57" s="15"/>
      <c r="O57" s="15"/>
      <c r="R57" s="5"/>
      <c r="S57" s="188"/>
      <c r="T57" s="187">
        <f t="shared" si="0"/>
        <v>0</v>
      </c>
      <c r="U57" s="187">
        <f t="shared" si="1"/>
        <v>0</v>
      </c>
      <c r="V57" s="187">
        <f t="shared" si="2"/>
        <v>0</v>
      </c>
    </row>
    <row r="58" spans="1:22" x14ac:dyDescent="0.25">
      <c r="A58" s="167">
        <v>45217</v>
      </c>
      <c r="B58" s="16"/>
      <c r="C58" s="6"/>
      <c r="D58" s="185"/>
      <c r="E58" s="15"/>
      <c r="F58" s="151"/>
      <c r="G58" s="151"/>
      <c r="H58" s="151"/>
      <c r="I58" s="15"/>
      <c r="J58" s="15"/>
      <c r="K58" s="15"/>
      <c r="L58" s="15"/>
      <c r="M58" s="15"/>
      <c r="N58" s="15"/>
      <c r="O58" s="15"/>
      <c r="R58" s="5"/>
      <c r="S58" s="188"/>
      <c r="T58" s="187">
        <f t="shared" si="0"/>
        <v>0</v>
      </c>
      <c r="U58" s="187">
        <f t="shared" si="1"/>
        <v>0</v>
      </c>
      <c r="V58" s="187">
        <f t="shared" si="2"/>
        <v>0</v>
      </c>
    </row>
    <row r="59" spans="1:22" x14ac:dyDescent="0.25">
      <c r="A59" s="167">
        <v>45217</v>
      </c>
      <c r="B59" s="14"/>
      <c r="C59" s="6"/>
      <c r="D59" s="185"/>
      <c r="E59" s="15"/>
      <c r="F59" s="151"/>
      <c r="G59" s="151"/>
      <c r="H59" s="151"/>
      <c r="I59" s="15"/>
      <c r="J59" s="15"/>
      <c r="K59" s="15"/>
      <c r="L59" s="15"/>
      <c r="M59" s="15"/>
      <c r="N59" s="15"/>
      <c r="O59" s="15"/>
      <c r="R59" s="5"/>
      <c r="S59" s="188"/>
      <c r="T59" s="187">
        <f t="shared" si="0"/>
        <v>0</v>
      </c>
      <c r="U59" s="187">
        <f t="shared" si="1"/>
        <v>0</v>
      </c>
      <c r="V59" s="187">
        <f t="shared" si="2"/>
        <v>0</v>
      </c>
    </row>
    <row r="60" spans="1:22" x14ac:dyDescent="0.25">
      <c r="A60" s="167">
        <v>45217</v>
      </c>
      <c r="B60" s="16"/>
      <c r="C60" s="6"/>
      <c r="D60" s="18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R60" s="5"/>
      <c r="S60" s="188"/>
      <c r="T60" s="187">
        <f t="shared" si="0"/>
        <v>0</v>
      </c>
      <c r="U60" s="187">
        <f t="shared" si="1"/>
        <v>0</v>
      </c>
      <c r="V60" s="187">
        <f t="shared" si="2"/>
        <v>0</v>
      </c>
    </row>
    <row r="61" spans="1:22" x14ac:dyDescent="0.25">
      <c r="A61" s="167">
        <v>45217</v>
      </c>
      <c r="B61" s="16"/>
      <c r="C61" s="6"/>
      <c r="D61" s="18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R61" s="5"/>
      <c r="S61" s="188"/>
      <c r="T61" s="187">
        <f t="shared" si="0"/>
        <v>0</v>
      </c>
      <c r="U61" s="187">
        <f t="shared" si="1"/>
        <v>0</v>
      </c>
      <c r="V61" s="187">
        <f t="shared" si="2"/>
        <v>0</v>
      </c>
    </row>
    <row r="62" spans="1:22" x14ac:dyDescent="0.25">
      <c r="A62" s="167">
        <v>45217</v>
      </c>
      <c r="B62" s="16"/>
      <c r="C62" s="6"/>
      <c r="D62" s="18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R62" s="5"/>
      <c r="S62" s="188"/>
      <c r="T62" s="187">
        <f t="shared" si="0"/>
        <v>0</v>
      </c>
      <c r="U62" s="187">
        <f t="shared" si="1"/>
        <v>0</v>
      </c>
      <c r="V62" s="187">
        <f t="shared" si="2"/>
        <v>0</v>
      </c>
    </row>
    <row r="63" spans="1:22" x14ac:dyDescent="0.25">
      <c r="A63" s="167">
        <v>45217</v>
      </c>
      <c r="B63" s="16"/>
      <c r="C63" s="6"/>
      <c r="D63" s="18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R63" s="5"/>
      <c r="S63" s="188"/>
      <c r="T63" s="187">
        <f t="shared" si="0"/>
        <v>0</v>
      </c>
      <c r="U63" s="187">
        <f t="shared" si="1"/>
        <v>0</v>
      </c>
      <c r="V63" s="187">
        <f t="shared" si="2"/>
        <v>0</v>
      </c>
    </row>
    <row r="64" spans="1:22" x14ac:dyDescent="0.25">
      <c r="A64" s="167">
        <v>45217</v>
      </c>
      <c r="B64" s="14"/>
      <c r="C64" s="6"/>
      <c r="D64" s="18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R64" s="5"/>
      <c r="S64" s="188"/>
      <c r="T64" s="187">
        <f t="shared" si="0"/>
        <v>0</v>
      </c>
      <c r="U64" s="187">
        <f t="shared" si="1"/>
        <v>0</v>
      </c>
      <c r="V64" s="187">
        <f t="shared" si="2"/>
        <v>0</v>
      </c>
    </row>
    <row r="65" spans="1:22" x14ac:dyDescent="0.25">
      <c r="A65" s="167">
        <v>45217</v>
      </c>
      <c r="B65" s="14"/>
      <c r="C65" s="6"/>
      <c r="D65" s="18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R65" s="5"/>
      <c r="S65" s="188"/>
      <c r="T65" s="187">
        <f t="shared" si="0"/>
        <v>0</v>
      </c>
      <c r="U65" s="187">
        <f t="shared" si="1"/>
        <v>0</v>
      </c>
      <c r="V65" s="187">
        <f t="shared" si="2"/>
        <v>0</v>
      </c>
    </row>
    <row r="66" spans="1:22" x14ac:dyDescent="0.25">
      <c r="A66" s="167">
        <v>45217</v>
      </c>
      <c r="B66" s="14"/>
      <c r="C66" s="6"/>
      <c r="D66" s="18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R66" s="5"/>
      <c r="S66" s="188"/>
      <c r="T66" s="187">
        <f t="shared" si="0"/>
        <v>0</v>
      </c>
      <c r="U66" s="187">
        <f t="shared" si="1"/>
        <v>0</v>
      </c>
      <c r="V66" s="187">
        <f t="shared" si="2"/>
        <v>0</v>
      </c>
    </row>
    <row r="67" spans="1:22" x14ac:dyDescent="0.25">
      <c r="A67" s="167">
        <v>45217</v>
      </c>
      <c r="B67" s="16"/>
      <c r="C67" s="6"/>
      <c r="D67" s="18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R67" s="5"/>
      <c r="S67" s="188"/>
      <c r="T67" s="187">
        <f t="shared" si="0"/>
        <v>0</v>
      </c>
      <c r="U67" s="187">
        <f t="shared" si="1"/>
        <v>0</v>
      </c>
      <c r="V67" s="187">
        <f t="shared" si="2"/>
        <v>0</v>
      </c>
    </row>
    <row r="68" spans="1:22" x14ac:dyDescent="0.25">
      <c r="A68" s="167">
        <v>45217</v>
      </c>
      <c r="B68" s="14"/>
      <c r="C68" s="6"/>
      <c r="D68" s="18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R68" s="5"/>
      <c r="S68" s="188"/>
      <c r="T68" s="187">
        <f t="shared" ref="T68:T105" si="3">COUNTIF(E68,"SSB")</f>
        <v>0</v>
      </c>
      <c r="U68" s="187">
        <f t="shared" ref="U68:U105" si="4">COUNTIF(E68,"CW")</f>
        <v>0</v>
      </c>
      <c r="V68" s="187">
        <f t="shared" ref="V68:V105" si="5">COUNTIF(E68,"RTTY")</f>
        <v>0</v>
      </c>
    </row>
    <row r="69" spans="1:22" x14ac:dyDescent="0.25">
      <c r="A69" s="167">
        <v>45217</v>
      </c>
      <c r="B69" s="16"/>
      <c r="C69" s="6"/>
      <c r="D69" s="18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R69" s="5"/>
      <c r="S69" s="188"/>
      <c r="T69" s="187">
        <f t="shared" si="3"/>
        <v>0</v>
      </c>
      <c r="U69" s="187">
        <f t="shared" si="4"/>
        <v>0</v>
      </c>
      <c r="V69" s="187">
        <f t="shared" si="5"/>
        <v>0</v>
      </c>
    </row>
    <row r="70" spans="1:22" x14ac:dyDescent="0.25">
      <c r="A70" s="167">
        <v>45217</v>
      </c>
      <c r="B70" s="16"/>
      <c r="C70" s="6"/>
      <c r="D70" s="18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R70" s="5"/>
      <c r="S70" s="188"/>
      <c r="T70" s="187">
        <f t="shared" si="3"/>
        <v>0</v>
      </c>
      <c r="U70" s="187">
        <f t="shared" si="4"/>
        <v>0</v>
      </c>
      <c r="V70" s="187">
        <f t="shared" si="5"/>
        <v>0</v>
      </c>
    </row>
    <row r="71" spans="1:22" x14ac:dyDescent="0.25">
      <c r="A71" s="167">
        <v>45217</v>
      </c>
      <c r="B71" s="14"/>
      <c r="C71" s="6"/>
      <c r="D71" s="18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R71" s="5"/>
      <c r="S71" s="188"/>
      <c r="T71" s="187">
        <f t="shared" si="3"/>
        <v>0</v>
      </c>
      <c r="U71" s="187">
        <f t="shared" si="4"/>
        <v>0</v>
      </c>
      <c r="V71" s="187">
        <f t="shared" si="5"/>
        <v>0</v>
      </c>
    </row>
    <row r="72" spans="1:22" x14ac:dyDescent="0.25">
      <c r="A72" s="167">
        <v>45217</v>
      </c>
      <c r="B72" s="14"/>
      <c r="C72" s="6"/>
      <c r="D72" s="18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R72" s="5"/>
      <c r="S72" s="188"/>
      <c r="T72" s="187">
        <f t="shared" si="3"/>
        <v>0</v>
      </c>
      <c r="U72" s="187">
        <f t="shared" si="4"/>
        <v>0</v>
      </c>
      <c r="V72" s="187">
        <f t="shared" si="5"/>
        <v>0</v>
      </c>
    </row>
    <row r="73" spans="1:22" x14ac:dyDescent="0.25">
      <c r="A73" s="167">
        <v>45217</v>
      </c>
      <c r="B73" s="16"/>
      <c r="C73" s="6"/>
      <c r="D73" s="18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R73" s="5"/>
      <c r="S73" s="188"/>
      <c r="T73" s="187">
        <f t="shared" si="3"/>
        <v>0</v>
      </c>
      <c r="U73" s="187">
        <f t="shared" si="4"/>
        <v>0</v>
      </c>
      <c r="V73" s="187">
        <f t="shared" si="5"/>
        <v>0</v>
      </c>
    </row>
    <row r="74" spans="1:22" x14ac:dyDescent="0.25">
      <c r="A74" s="167">
        <v>45217</v>
      </c>
      <c r="B74" s="14"/>
      <c r="C74" s="6"/>
      <c r="D74" s="18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R74" s="5"/>
      <c r="S74" s="188"/>
      <c r="T74" s="187">
        <f t="shared" si="3"/>
        <v>0</v>
      </c>
      <c r="U74" s="187">
        <f t="shared" si="4"/>
        <v>0</v>
      </c>
      <c r="V74" s="187">
        <f t="shared" si="5"/>
        <v>0</v>
      </c>
    </row>
    <row r="75" spans="1:22" x14ac:dyDescent="0.25">
      <c r="A75" s="167">
        <v>45217</v>
      </c>
      <c r="B75" s="14"/>
      <c r="C75" s="6"/>
      <c r="D75" s="18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R75" s="5"/>
      <c r="S75" s="188"/>
      <c r="T75" s="187">
        <f t="shared" si="3"/>
        <v>0</v>
      </c>
      <c r="U75" s="187">
        <f t="shared" si="4"/>
        <v>0</v>
      </c>
      <c r="V75" s="187">
        <f t="shared" si="5"/>
        <v>0</v>
      </c>
    </row>
    <row r="76" spans="1:22" x14ac:dyDescent="0.25">
      <c r="A76" s="167">
        <v>45217</v>
      </c>
      <c r="B76" s="14"/>
      <c r="C76" s="6"/>
      <c r="D76" s="18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R76" s="5"/>
      <c r="S76" s="188"/>
      <c r="T76" s="187">
        <f t="shared" si="3"/>
        <v>0</v>
      </c>
      <c r="U76" s="187">
        <f t="shared" si="4"/>
        <v>0</v>
      </c>
      <c r="V76" s="187">
        <f t="shared" si="5"/>
        <v>0</v>
      </c>
    </row>
    <row r="77" spans="1:22" x14ac:dyDescent="0.25">
      <c r="A77" s="167">
        <v>45217</v>
      </c>
      <c r="B77" s="16"/>
      <c r="C77" s="6"/>
      <c r="D77" s="18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R77" s="5"/>
      <c r="S77" s="188"/>
      <c r="T77" s="187">
        <f t="shared" si="3"/>
        <v>0</v>
      </c>
      <c r="U77" s="187">
        <f t="shared" si="4"/>
        <v>0</v>
      </c>
      <c r="V77" s="187">
        <f t="shared" si="5"/>
        <v>0</v>
      </c>
    </row>
    <row r="78" spans="1:22" x14ac:dyDescent="0.25">
      <c r="A78" s="167">
        <v>45217</v>
      </c>
      <c r="B78" s="14"/>
      <c r="C78" s="6"/>
      <c r="D78" s="18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R78" s="5"/>
      <c r="S78" s="188"/>
      <c r="T78" s="187">
        <f t="shared" si="3"/>
        <v>0</v>
      </c>
      <c r="U78" s="187">
        <f t="shared" si="4"/>
        <v>0</v>
      </c>
      <c r="V78" s="187">
        <f t="shared" si="5"/>
        <v>0</v>
      </c>
    </row>
    <row r="79" spans="1:22" x14ac:dyDescent="0.25">
      <c r="A79" s="167">
        <v>45217</v>
      </c>
      <c r="B79" s="16"/>
      <c r="C79" s="6"/>
      <c r="D79" s="18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R79" s="5"/>
      <c r="S79" s="188"/>
      <c r="T79" s="187">
        <f t="shared" si="3"/>
        <v>0</v>
      </c>
      <c r="U79" s="187">
        <f t="shared" si="4"/>
        <v>0</v>
      </c>
      <c r="V79" s="187">
        <f t="shared" si="5"/>
        <v>0</v>
      </c>
    </row>
    <row r="80" spans="1:22" x14ac:dyDescent="0.25">
      <c r="A80" s="167">
        <v>45217</v>
      </c>
      <c r="B80" s="14"/>
      <c r="C80" s="6"/>
      <c r="D80" s="18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R80" s="5"/>
      <c r="S80" s="188"/>
      <c r="T80" s="187">
        <f t="shared" si="3"/>
        <v>0</v>
      </c>
      <c r="U80" s="187">
        <f t="shared" si="4"/>
        <v>0</v>
      </c>
      <c r="V80" s="187">
        <f t="shared" si="5"/>
        <v>0</v>
      </c>
    </row>
    <row r="81" spans="1:22" x14ac:dyDescent="0.25">
      <c r="A81" s="167">
        <v>45217</v>
      </c>
      <c r="B81" s="16"/>
      <c r="C81" s="6"/>
      <c r="D81" s="18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R81" s="5"/>
      <c r="S81" s="188"/>
      <c r="T81" s="187">
        <f t="shared" si="3"/>
        <v>0</v>
      </c>
      <c r="U81" s="187">
        <f t="shared" si="4"/>
        <v>0</v>
      </c>
      <c r="V81" s="187">
        <f t="shared" si="5"/>
        <v>0</v>
      </c>
    </row>
    <row r="82" spans="1:22" x14ac:dyDescent="0.25">
      <c r="A82" s="167">
        <v>45217</v>
      </c>
      <c r="B82" s="14"/>
      <c r="C82" s="6"/>
      <c r="D82" s="18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R82" s="5"/>
      <c r="S82" s="188"/>
      <c r="T82" s="187">
        <f t="shared" si="3"/>
        <v>0</v>
      </c>
      <c r="U82" s="187">
        <f t="shared" si="4"/>
        <v>0</v>
      </c>
      <c r="V82" s="187">
        <f t="shared" si="5"/>
        <v>0</v>
      </c>
    </row>
    <row r="83" spans="1:22" x14ac:dyDescent="0.25">
      <c r="A83" s="167">
        <v>45217</v>
      </c>
      <c r="B83" s="14"/>
      <c r="C83" s="6"/>
      <c r="D83" s="18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R83" s="5"/>
      <c r="S83" s="188"/>
      <c r="T83" s="187">
        <f t="shared" si="3"/>
        <v>0</v>
      </c>
      <c r="U83" s="187">
        <f t="shared" si="4"/>
        <v>0</v>
      </c>
      <c r="V83" s="187">
        <f t="shared" si="5"/>
        <v>0</v>
      </c>
    </row>
    <row r="84" spans="1:22" x14ac:dyDescent="0.25">
      <c r="A84" s="167">
        <v>45217</v>
      </c>
      <c r="B84" s="16"/>
      <c r="C84" s="6"/>
      <c r="D84" s="18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R84" s="5"/>
      <c r="S84" s="188"/>
      <c r="T84" s="187">
        <f t="shared" si="3"/>
        <v>0</v>
      </c>
      <c r="U84" s="187">
        <f t="shared" si="4"/>
        <v>0</v>
      </c>
      <c r="V84" s="187">
        <f t="shared" si="5"/>
        <v>0</v>
      </c>
    </row>
    <row r="85" spans="1:22" x14ac:dyDescent="0.25">
      <c r="A85" s="167">
        <v>45217</v>
      </c>
      <c r="B85" s="16"/>
      <c r="C85" s="6"/>
      <c r="D85" s="18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R85" s="5"/>
      <c r="S85" s="188"/>
      <c r="T85" s="187">
        <f t="shared" si="3"/>
        <v>0</v>
      </c>
      <c r="U85" s="187">
        <f t="shared" si="4"/>
        <v>0</v>
      </c>
      <c r="V85" s="187">
        <f t="shared" si="5"/>
        <v>0</v>
      </c>
    </row>
    <row r="86" spans="1:22" x14ac:dyDescent="0.25">
      <c r="A86" s="167">
        <v>45217</v>
      </c>
      <c r="B86" s="16"/>
      <c r="C86" s="6"/>
      <c r="D86" s="18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R86" s="5"/>
      <c r="S86" s="188"/>
      <c r="T86" s="187">
        <f t="shared" si="3"/>
        <v>0</v>
      </c>
      <c r="U86" s="187">
        <f t="shared" si="4"/>
        <v>0</v>
      </c>
      <c r="V86" s="187">
        <f t="shared" si="5"/>
        <v>0</v>
      </c>
    </row>
    <row r="87" spans="1:22" x14ac:dyDescent="0.25">
      <c r="A87" s="167">
        <v>45217</v>
      </c>
      <c r="B87" s="14"/>
      <c r="C87" s="6"/>
      <c r="D87" s="18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R87" s="5"/>
      <c r="S87" s="188"/>
      <c r="T87" s="187">
        <f t="shared" si="3"/>
        <v>0</v>
      </c>
      <c r="U87" s="187">
        <f t="shared" si="4"/>
        <v>0</v>
      </c>
      <c r="V87" s="187">
        <f t="shared" si="5"/>
        <v>0</v>
      </c>
    </row>
    <row r="88" spans="1:22" x14ac:dyDescent="0.25">
      <c r="A88" s="167">
        <v>45217</v>
      </c>
      <c r="B88" s="14"/>
      <c r="C88" s="6"/>
      <c r="D88" s="18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R88" s="5"/>
      <c r="S88" s="188"/>
      <c r="T88" s="187">
        <f t="shared" si="3"/>
        <v>0</v>
      </c>
      <c r="U88" s="187">
        <f t="shared" si="4"/>
        <v>0</v>
      </c>
      <c r="V88" s="187">
        <f t="shared" si="5"/>
        <v>0</v>
      </c>
    </row>
    <row r="89" spans="1:22" x14ac:dyDescent="0.25">
      <c r="A89" s="167">
        <v>45217</v>
      </c>
      <c r="B89" s="14"/>
      <c r="C89" s="6"/>
      <c r="D89" s="18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R89" s="5"/>
      <c r="S89" s="188"/>
      <c r="T89" s="187">
        <f t="shared" si="3"/>
        <v>0</v>
      </c>
      <c r="U89" s="187">
        <f t="shared" si="4"/>
        <v>0</v>
      </c>
      <c r="V89" s="187">
        <f t="shared" si="5"/>
        <v>0</v>
      </c>
    </row>
    <row r="90" spans="1:22" x14ac:dyDescent="0.25">
      <c r="A90" s="167">
        <v>45217</v>
      </c>
      <c r="B90" s="14"/>
      <c r="C90" s="6"/>
      <c r="D90" s="18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R90" s="5"/>
      <c r="S90" s="188"/>
      <c r="T90" s="187">
        <f t="shared" si="3"/>
        <v>0</v>
      </c>
      <c r="U90" s="187">
        <f t="shared" si="4"/>
        <v>0</v>
      </c>
      <c r="V90" s="187">
        <f t="shared" si="5"/>
        <v>0</v>
      </c>
    </row>
    <row r="91" spans="1:22" x14ac:dyDescent="0.25">
      <c r="A91" s="167">
        <v>45217</v>
      </c>
      <c r="B91" s="16"/>
      <c r="C91" s="6"/>
      <c r="D91" s="18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R91" s="5"/>
      <c r="S91" s="188"/>
      <c r="T91" s="187">
        <f t="shared" si="3"/>
        <v>0</v>
      </c>
      <c r="U91" s="187">
        <f t="shared" si="4"/>
        <v>0</v>
      </c>
      <c r="V91" s="187">
        <f t="shared" si="5"/>
        <v>0</v>
      </c>
    </row>
    <row r="92" spans="1:22" x14ac:dyDescent="0.25">
      <c r="A92" s="167">
        <v>45217</v>
      </c>
      <c r="B92" s="14"/>
      <c r="C92" s="6"/>
      <c r="D92" s="18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R92" s="5"/>
      <c r="S92" s="188"/>
      <c r="T92" s="187">
        <f t="shared" si="3"/>
        <v>0</v>
      </c>
      <c r="U92" s="187">
        <f t="shared" si="4"/>
        <v>0</v>
      </c>
      <c r="V92" s="187">
        <f t="shared" si="5"/>
        <v>0</v>
      </c>
    </row>
    <row r="93" spans="1:22" x14ac:dyDescent="0.25">
      <c r="A93" s="167">
        <v>45217</v>
      </c>
      <c r="B93" s="16"/>
      <c r="C93" s="6"/>
      <c r="D93" s="18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R93" s="5"/>
      <c r="S93" s="188"/>
      <c r="T93" s="187">
        <f t="shared" si="3"/>
        <v>0</v>
      </c>
      <c r="U93" s="187">
        <f t="shared" si="4"/>
        <v>0</v>
      </c>
      <c r="V93" s="187">
        <f t="shared" si="5"/>
        <v>0</v>
      </c>
    </row>
    <row r="94" spans="1:22" x14ac:dyDescent="0.25">
      <c r="A94" s="167">
        <v>45217</v>
      </c>
      <c r="B94" s="14"/>
      <c r="C94" s="6"/>
      <c r="D94" s="18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R94" s="5"/>
      <c r="S94" s="188"/>
      <c r="T94" s="187">
        <f t="shared" si="3"/>
        <v>0</v>
      </c>
      <c r="U94" s="187">
        <f t="shared" si="4"/>
        <v>0</v>
      </c>
      <c r="V94" s="187">
        <f t="shared" si="5"/>
        <v>0</v>
      </c>
    </row>
    <row r="95" spans="1:22" x14ac:dyDescent="0.25">
      <c r="A95" s="167">
        <v>45217</v>
      </c>
      <c r="B95" s="14"/>
      <c r="C95" s="6"/>
      <c r="D95" s="18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R95" s="5"/>
      <c r="S95" s="188"/>
      <c r="T95" s="187">
        <f t="shared" si="3"/>
        <v>0</v>
      </c>
      <c r="U95" s="187">
        <f t="shared" si="4"/>
        <v>0</v>
      </c>
      <c r="V95" s="187">
        <f t="shared" si="5"/>
        <v>0</v>
      </c>
    </row>
    <row r="96" spans="1:22" x14ac:dyDescent="0.25">
      <c r="A96" s="167">
        <v>45217</v>
      </c>
      <c r="B96" s="16"/>
      <c r="C96" s="6"/>
      <c r="D96" s="18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R96" s="5"/>
      <c r="S96" s="188"/>
      <c r="T96" s="187">
        <f t="shared" si="3"/>
        <v>0</v>
      </c>
      <c r="U96" s="187">
        <f t="shared" si="4"/>
        <v>0</v>
      </c>
      <c r="V96" s="187">
        <f t="shared" si="5"/>
        <v>0</v>
      </c>
    </row>
    <row r="97" spans="1:22" x14ac:dyDescent="0.25">
      <c r="A97" s="167">
        <v>45217</v>
      </c>
      <c r="B97" s="16"/>
      <c r="C97" s="6"/>
      <c r="D97" s="18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R97" s="5"/>
      <c r="S97" s="188"/>
      <c r="T97" s="187">
        <f t="shared" si="3"/>
        <v>0</v>
      </c>
      <c r="U97" s="187">
        <f t="shared" si="4"/>
        <v>0</v>
      </c>
      <c r="V97" s="187">
        <f t="shared" si="5"/>
        <v>0</v>
      </c>
    </row>
    <row r="98" spans="1:22" x14ac:dyDescent="0.25">
      <c r="A98" s="167">
        <v>45217</v>
      </c>
      <c r="B98" s="14"/>
      <c r="C98" s="6"/>
      <c r="D98" s="18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R98" s="5"/>
      <c r="S98" s="188"/>
      <c r="T98" s="187">
        <f t="shared" si="3"/>
        <v>0</v>
      </c>
      <c r="U98" s="187">
        <f t="shared" si="4"/>
        <v>0</v>
      </c>
      <c r="V98" s="187">
        <f t="shared" si="5"/>
        <v>0</v>
      </c>
    </row>
    <row r="99" spans="1:22" x14ac:dyDescent="0.25">
      <c r="A99" s="167">
        <v>45217</v>
      </c>
      <c r="B99" s="16"/>
      <c r="C99" s="6"/>
      <c r="D99" s="18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R99" s="5"/>
      <c r="S99" s="188"/>
      <c r="T99" s="187">
        <f t="shared" si="3"/>
        <v>0</v>
      </c>
      <c r="U99" s="187">
        <f t="shared" si="4"/>
        <v>0</v>
      </c>
      <c r="V99" s="187">
        <f t="shared" si="5"/>
        <v>0</v>
      </c>
    </row>
    <row r="100" spans="1:22" x14ac:dyDescent="0.25">
      <c r="A100" s="167">
        <v>45217</v>
      </c>
      <c r="B100" s="14"/>
      <c r="C100" s="6"/>
      <c r="D100" s="18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R100" s="5"/>
      <c r="S100" s="188"/>
      <c r="T100" s="187">
        <f t="shared" si="3"/>
        <v>0</v>
      </c>
      <c r="U100" s="187">
        <f t="shared" si="4"/>
        <v>0</v>
      </c>
      <c r="V100" s="187">
        <f t="shared" si="5"/>
        <v>0</v>
      </c>
    </row>
    <row r="101" spans="1:22" x14ac:dyDescent="0.25">
      <c r="A101" s="167">
        <v>45217</v>
      </c>
      <c r="B101" s="14"/>
      <c r="C101" s="6"/>
      <c r="D101" s="18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R101" s="5"/>
      <c r="S101" s="188"/>
      <c r="T101" s="187">
        <f t="shared" si="3"/>
        <v>0</v>
      </c>
      <c r="U101" s="187">
        <f t="shared" si="4"/>
        <v>0</v>
      </c>
      <c r="V101" s="187">
        <f t="shared" si="5"/>
        <v>0</v>
      </c>
    </row>
    <row r="102" spans="1:22" x14ac:dyDescent="0.25">
      <c r="A102" s="167">
        <v>45217</v>
      </c>
      <c r="B102" s="14"/>
      <c r="C102" s="6"/>
      <c r="D102" s="18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R102" s="5"/>
      <c r="S102" s="188"/>
      <c r="T102" s="187">
        <f t="shared" si="3"/>
        <v>0</v>
      </c>
      <c r="U102" s="187">
        <f t="shared" si="4"/>
        <v>0</v>
      </c>
      <c r="V102" s="187">
        <f t="shared" si="5"/>
        <v>0</v>
      </c>
    </row>
    <row r="103" spans="1:22" x14ac:dyDescent="0.25">
      <c r="A103" s="167">
        <v>45217</v>
      </c>
      <c r="B103" s="14"/>
      <c r="C103" s="6"/>
      <c r="D103" s="18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R103" s="5"/>
      <c r="S103" s="188"/>
      <c r="T103" s="187">
        <f t="shared" si="3"/>
        <v>0</v>
      </c>
      <c r="U103" s="187">
        <f t="shared" si="4"/>
        <v>0</v>
      </c>
      <c r="V103" s="187">
        <f t="shared" si="5"/>
        <v>0</v>
      </c>
    </row>
    <row r="104" spans="1:22" x14ac:dyDescent="0.25">
      <c r="A104" s="167">
        <v>45217</v>
      </c>
      <c r="B104" s="16"/>
      <c r="C104" s="6"/>
      <c r="D104" s="18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R104" s="5"/>
      <c r="S104" s="188"/>
      <c r="T104" s="187">
        <f t="shared" si="3"/>
        <v>0</v>
      </c>
      <c r="U104" s="187">
        <f t="shared" si="4"/>
        <v>0</v>
      </c>
      <c r="V104" s="187">
        <f t="shared" si="5"/>
        <v>0</v>
      </c>
    </row>
    <row r="105" spans="1:22" x14ac:dyDescent="0.25">
      <c r="A105" s="167">
        <v>45217</v>
      </c>
      <c r="B105" s="16"/>
      <c r="C105" s="6"/>
      <c r="D105" s="185"/>
      <c r="E105" s="6"/>
      <c r="F105" s="17"/>
      <c r="G105" s="17"/>
      <c r="H105" s="17"/>
      <c r="I105" s="8"/>
      <c r="J105" s="8"/>
      <c r="K105" s="8"/>
      <c r="L105" s="17"/>
      <c r="M105" s="17"/>
      <c r="N105" s="17"/>
      <c r="O105" s="6"/>
      <c r="R105" s="5"/>
      <c r="S105" s="188"/>
      <c r="T105" s="187">
        <f t="shared" si="3"/>
        <v>0</v>
      </c>
      <c r="U105" s="187">
        <f t="shared" si="4"/>
        <v>0</v>
      </c>
      <c r="V105" s="187">
        <f t="shared" si="5"/>
        <v>0</v>
      </c>
    </row>
    <row r="106" spans="1:22" x14ac:dyDescent="0.25">
      <c r="A106" s="89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 s="188"/>
      <c r="V106" s="188"/>
    </row>
    <row r="107" spans="1:22" x14ac:dyDescent="0.25">
      <c r="A107" s="89"/>
      <c r="B107" s="16"/>
      <c r="C107" s="92"/>
      <c r="D107" s="22"/>
      <c r="E107" s="22"/>
      <c r="H107" s="93"/>
      <c r="I107" s="93"/>
      <c r="J107" s="93"/>
      <c r="K107" s="93"/>
    </row>
    <row r="108" spans="1:22" x14ac:dyDescent="0.25">
      <c r="A108" s="89"/>
      <c r="B108" s="14"/>
      <c r="C108" s="92"/>
      <c r="D108" s="22"/>
      <c r="E108" s="22"/>
      <c r="H108" s="93"/>
      <c r="I108" s="93"/>
      <c r="J108" s="93"/>
      <c r="K108" s="93"/>
    </row>
    <row r="109" spans="1:22" x14ac:dyDescent="0.25">
      <c r="A109" s="89"/>
      <c r="B109" s="16"/>
      <c r="C109" s="92"/>
      <c r="D109" s="22"/>
      <c r="E109" s="22"/>
      <c r="H109" s="93"/>
      <c r="I109" s="93"/>
      <c r="J109" s="93"/>
      <c r="K109" s="93"/>
    </row>
    <row r="110" spans="1:22" x14ac:dyDescent="0.25">
      <c r="A110" s="89"/>
      <c r="B110" s="14"/>
      <c r="C110" s="92"/>
      <c r="D110" s="22"/>
      <c r="E110" s="22"/>
      <c r="H110" s="93"/>
      <c r="I110" s="93"/>
      <c r="J110" s="93"/>
      <c r="K110" s="93"/>
    </row>
    <row r="111" spans="1:22" x14ac:dyDescent="0.25">
      <c r="A111" s="89"/>
      <c r="B111" s="16"/>
      <c r="C111" s="92"/>
      <c r="D111" s="22"/>
      <c r="E111" s="22"/>
      <c r="H111" s="93"/>
      <c r="I111" s="93"/>
      <c r="J111" s="93"/>
      <c r="K111" s="93"/>
    </row>
    <row r="112" spans="1:22" x14ac:dyDescent="0.25">
      <c r="A112" s="89"/>
      <c r="B112" s="16"/>
      <c r="C112" s="92"/>
      <c r="D112" s="22"/>
      <c r="E112" s="22"/>
      <c r="H112" s="93"/>
      <c r="I112" s="93"/>
      <c r="J112" s="93"/>
      <c r="K112" s="93"/>
    </row>
    <row r="113" spans="1:11" x14ac:dyDescent="0.25">
      <c r="A113" s="89"/>
      <c r="B113" s="14"/>
      <c r="C113" s="92"/>
      <c r="D113" s="22"/>
      <c r="E113" s="22"/>
      <c r="H113" s="93"/>
      <c r="I113" s="93"/>
      <c r="J113" s="93"/>
      <c r="K113" s="93"/>
    </row>
    <row r="114" spans="1:11" x14ac:dyDescent="0.25">
      <c r="A114" s="89"/>
      <c r="B114" s="16"/>
      <c r="C114" s="92"/>
      <c r="D114" s="22"/>
      <c r="E114" s="22"/>
      <c r="H114" s="93"/>
      <c r="I114" s="93"/>
      <c r="J114" s="93"/>
      <c r="K114" s="93"/>
    </row>
    <row r="115" spans="1:11" x14ac:dyDescent="0.25">
      <c r="A115" s="89"/>
      <c r="B115" s="16"/>
      <c r="C115" s="92"/>
      <c r="D115" s="22"/>
      <c r="E115" s="22"/>
      <c r="H115" s="93"/>
      <c r="I115" s="93"/>
      <c r="J115" s="93"/>
      <c r="K115" s="93"/>
    </row>
    <row r="116" spans="1:11" x14ac:dyDescent="0.25">
      <c r="A116" s="89"/>
      <c r="B116" s="14"/>
      <c r="C116" s="92"/>
      <c r="D116" s="22"/>
      <c r="E116" s="22"/>
      <c r="H116" s="93"/>
      <c r="I116" s="93"/>
      <c r="J116" s="93"/>
      <c r="K116" s="93"/>
    </row>
    <row r="117" spans="1:11" x14ac:dyDescent="0.25">
      <c r="A117" s="89"/>
      <c r="B117" s="14"/>
      <c r="C117" s="92"/>
      <c r="D117" s="22"/>
      <c r="E117" s="22"/>
      <c r="H117" s="93"/>
      <c r="I117" s="93"/>
      <c r="J117" s="93"/>
      <c r="K117" s="93"/>
    </row>
    <row r="118" spans="1:11" x14ac:dyDescent="0.25">
      <c r="A118" s="89"/>
      <c r="B118" s="14"/>
      <c r="C118" s="92"/>
      <c r="D118" s="22"/>
      <c r="E118" s="22"/>
      <c r="H118" s="93"/>
      <c r="I118" s="93"/>
      <c r="J118" s="93"/>
      <c r="K118" s="93"/>
    </row>
    <row r="119" spans="1:11" x14ac:dyDescent="0.25">
      <c r="A119" s="89"/>
      <c r="B119" s="16"/>
      <c r="C119" s="92"/>
      <c r="D119" s="22"/>
      <c r="E119" s="22"/>
      <c r="F119" s="94"/>
      <c r="G119" s="94"/>
      <c r="H119" s="93"/>
      <c r="I119" s="93"/>
      <c r="J119" s="93"/>
      <c r="K119" s="93"/>
    </row>
    <row r="120" spans="1:11" x14ac:dyDescent="0.25">
      <c r="A120" s="89"/>
      <c r="B120" s="16"/>
      <c r="C120" s="92"/>
      <c r="D120" s="22"/>
      <c r="E120" s="22"/>
      <c r="F120" s="94"/>
      <c r="G120" s="94"/>
      <c r="H120" s="93"/>
      <c r="I120" s="93"/>
      <c r="J120" s="93"/>
      <c r="K120" s="93"/>
    </row>
    <row r="121" spans="1:11" x14ac:dyDescent="0.25">
      <c r="A121" s="89"/>
      <c r="B121" s="14"/>
      <c r="C121" s="92"/>
      <c r="D121" s="22"/>
      <c r="E121" s="22"/>
      <c r="F121" s="94"/>
      <c r="G121" s="94"/>
      <c r="H121" s="93"/>
      <c r="I121" s="93"/>
      <c r="J121" s="93"/>
      <c r="K121" s="93"/>
    </row>
    <row r="122" spans="1:11" x14ac:dyDescent="0.25">
      <c r="A122" s="89"/>
      <c r="B122" s="14"/>
      <c r="C122" s="92"/>
      <c r="D122" s="22"/>
      <c r="E122" s="22"/>
      <c r="F122" s="94"/>
      <c r="G122" s="94"/>
      <c r="H122" s="93"/>
      <c r="I122" s="93"/>
      <c r="J122" s="93"/>
      <c r="K122" s="93"/>
    </row>
    <row r="123" spans="1:11" x14ac:dyDescent="0.25">
      <c r="A123" s="89"/>
      <c r="B123" s="14"/>
      <c r="C123" s="92"/>
      <c r="D123" s="22"/>
      <c r="E123" s="22"/>
      <c r="F123" s="94"/>
      <c r="G123" s="94"/>
      <c r="H123" s="93"/>
      <c r="I123" s="93"/>
      <c r="J123" s="93"/>
      <c r="K123" s="93"/>
    </row>
    <row r="124" spans="1:11" x14ac:dyDescent="0.25">
      <c r="A124" s="89"/>
      <c r="B124" s="16"/>
      <c r="C124" s="92"/>
      <c r="D124" s="22"/>
      <c r="E124" s="22"/>
      <c r="F124" s="94"/>
      <c r="G124" s="94"/>
      <c r="H124" s="93"/>
      <c r="I124" s="93"/>
      <c r="J124" s="93"/>
      <c r="K124" s="93"/>
    </row>
    <row r="125" spans="1:11" x14ac:dyDescent="0.25">
      <c r="A125" s="89"/>
      <c r="B125" s="16"/>
      <c r="C125" s="92"/>
      <c r="D125" s="22"/>
      <c r="E125" s="22"/>
      <c r="F125" s="94"/>
      <c r="G125" s="94"/>
      <c r="H125" s="93"/>
      <c r="I125" s="93"/>
      <c r="J125" s="93"/>
      <c r="K125" s="93"/>
    </row>
    <row r="126" spans="1:11" x14ac:dyDescent="0.25">
      <c r="A126" s="89"/>
      <c r="B126" s="14"/>
      <c r="C126" s="92"/>
      <c r="D126" s="22"/>
      <c r="E126" s="22"/>
      <c r="F126" s="94"/>
      <c r="G126" s="94"/>
      <c r="H126" s="93"/>
      <c r="I126" s="93"/>
      <c r="J126" s="93"/>
      <c r="K126" s="93"/>
    </row>
    <row r="127" spans="1:11" x14ac:dyDescent="0.25">
      <c r="A127" s="89"/>
      <c r="B127" s="14"/>
      <c r="C127" s="92"/>
      <c r="D127" s="22"/>
      <c r="E127" s="22"/>
      <c r="F127" s="94"/>
      <c r="G127" s="94"/>
      <c r="H127" s="93"/>
      <c r="I127" s="93"/>
      <c r="J127" s="93"/>
      <c r="K127" s="93"/>
    </row>
    <row r="128" spans="1:11" x14ac:dyDescent="0.25">
      <c r="A128" s="89"/>
      <c r="B128" s="14"/>
      <c r="C128" s="92"/>
      <c r="D128" s="22"/>
      <c r="E128" s="22"/>
      <c r="F128" s="94"/>
      <c r="G128" s="94"/>
      <c r="H128" s="93"/>
      <c r="I128" s="93"/>
      <c r="J128" s="93"/>
      <c r="K128" s="93"/>
    </row>
    <row r="129" spans="1:11" x14ac:dyDescent="0.25">
      <c r="A129" s="89"/>
      <c r="B129" s="14"/>
      <c r="C129" s="92"/>
      <c r="D129" s="22"/>
      <c r="E129" s="22"/>
      <c r="F129" s="94"/>
      <c r="G129" s="94"/>
      <c r="H129" s="93"/>
      <c r="I129" s="93"/>
      <c r="J129" s="93"/>
      <c r="K129" s="93"/>
    </row>
    <row r="130" spans="1:11" x14ac:dyDescent="0.25">
      <c r="A130" s="89"/>
      <c r="B130" s="16"/>
      <c r="C130" s="92"/>
      <c r="D130" s="22"/>
      <c r="E130" s="22"/>
      <c r="F130" s="94"/>
      <c r="G130" s="94"/>
      <c r="H130" s="93"/>
      <c r="I130" s="93"/>
      <c r="J130" s="93"/>
      <c r="K130" s="93"/>
    </row>
    <row r="131" spans="1:11" x14ac:dyDescent="0.25">
      <c r="A131" s="89"/>
      <c r="B131" s="14"/>
      <c r="C131" s="92"/>
      <c r="D131" s="22"/>
      <c r="E131" s="22"/>
      <c r="F131" s="94"/>
      <c r="G131" s="94"/>
      <c r="H131" s="93"/>
      <c r="I131" s="93"/>
      <c r="J131" s="93"/>
      <c r="K131" s="93"/>
    </row>
    <row r="132" spans="1:11" x14ac:dyDescent="0.25">
      <c r="A132" s="89"/>
      <c r="B132" s="16"/>
      <c r="C132" s="92"/>
      <c r="D132" s="22"/>
      <c r="E132" s="22"/>
      <c r="F132" s="94"/>
      <c r="G132" s="94"/>
      <c r="H132" s="93"/>
      <c r="I132" s="93"/>
      <c r="J132" s="93"/>
      <c r="K132" s="93"/>
    </row>
    <row r="133" spans="1:11" x14ac:dyDescent="0.25">
      <c r="A133" s="89"/>
      <c r="B133" s="16"/>
      <c r="C133" s="92"/>
      <c r="D133" s="22"/>
      <c r="E133" s="22"/>
      <c r="F133" s="94"/>
      <c r="G133" s="94"/>
      <c r="H133" s="93"/>
      <c r="I133" s="93"/>
      <c r="J133" s="93"/>
      <c r="K133" s="93"/>
    </row>
    <row r="134" spans="1:11" x14ac:dyDescent="0.25">
      <c r="A134" s="89"/>
      <c r="B134" s="14"/>
      <c r="C134" s="92"/>
      <c r="D134" s="22"/>
      <c r="E134" s="22"/>
      <c r="F134" s="94"/>
      <c r="G134" s="94"/>
      <c r="H134" s="93"/>
      <c r="I134" s="93"/>
      <c r="J134" s="93"/>
      <c r="K134" s="93"/>
    </row>
    <row r="135" spans="1:11" x14ac:dyDescent="0.25">
      <c r="A135" s="89"/>
      <c r="B135" s="14"/>
      <c r="C135" s="92"/>
      <c r="D135" s="22"/>
      <c r="E135" s="22"/>
      <c r="F135" s="94"/>
      <c r="G135" s="94"/>
      <c r="H135" s="93"/>
      <c r="I135" s="93"/>
      <c r="J135" s="93"/>
      <c r="K135" s="93"/>
    </row>
    <row r="136" spans="1:11" x14ac:dyDescent="0.25">
      <c r="A136" s="89"/>
      <c r="B136" s="16"/>
      <c r="C136" s="92"/>
      <c r="D136" s="22"/>
      <c r="E136" s="22"/>
      <c r="F136" s="94"/>
      <c r="G136" s="94"/>
      <c r="H136" s="93"/>
      <c r="I136" s="93"/>
      <c r="J136" s="93"/>
      <c r="K136" s="93"/>
    </row>
    <row r="137" spans="1:11" x14ac:dyDescent="0.25">
      <c r="A137" s="89"/>
      <c r="B137" s="14"/>
      <c r="C137" s="92"/>
      <c r="D137" s="22"/>
      <c r="E137" s="22"/>
      <c r="F137" s="94"/>
      <c r="G137" s="94"/>
      <c r="H137" s="93"/>
      <c r="I137" s="93"/>
      <c r="J137" s="93"/>
      <c r="K137" s="93"/>
    </row>
    <row r="138" spans="1:11" x14ac:dyDescent="0.25">
      <c r="A138" s="89"/>
      <c r="B138" s="16"/>
      <c r="C138" s="92"/>
      <c r="D138" s="22"/>
      <c r="E138" s="22"/>
      <c r="F138" s="94"/>
      <c r="G138" s="94"/>
      <c r="H138" s="93"/>
      <c r="I138" s="93"/>
      <c r="J138" s="93"/>
      <c r="K138" s="93"/>
    </row>
    <row r="139" spans="1:11" x14ac:dyDescent="0.25">
      <c r="A139" s="89"/>
      <c r="B139" s="14"/>
      <c r="C139" s="92"/>
      <c r="D139" s="22"/>
      <c r="E139" s="22"/>
      <c r="F139" s="94"/>
      <c r="G139" s="94"/>
      <c r="H139" s="93"/>
      <c r="I139" s="93"/>
      <c r="J139" s="93"/>
      <c r="K139" s="93"/>
    </row>
    <row r="140" spans="1:11" x14ac:dyDescent="0.25">
      <c r="A140" s="89"/>
      <c r="B140" s="16"/>
      <c r="C140" s="92"/>
      <c r="D140" s="22"/>
      <c r="E140" s="22"/>
      <c r="F140" s="94"/>
      <c r="G140" s="94"/>
      <c r="H140" s="93"/>
      <c r="I140" s="93"/>
      <c r="J140" s="93"/>
      <c r="K140" s="93"/>
    </row>
    <row r="141" spans="1:11" x14ac:dyDescent="0.25">
      <c r="A141" s="89"/>
      <c r="B141" s="14"/>
      <c r="C141" s="92"/>
      <c r="D141" s="22"/>
      <c r="E141" s="22"/>
      <c r="F141" s="94"/>
      <c r="G141" s="94"/>
      <c r="H141" s="93"/>
      <c r="I141" s="93"/>
      <c r="J141" s="93"/>
      <c r="K141" s="93"/>
    </row>
    <row r="142" spans="1:11" x14ac:dyDescent="0.25">
      <c r="A142" s="89"/>
      <c r="B142" s="16"/>
      <c r="C142" s="92"/>
      <c r="D142" s="22"/>
      <c r="E142" s="22"/>
      <c r="F142" s="94"/>
      <c r="G142" s="94"/>
      <c r="H142" s="93"/>
      <c r="I142" s="93"/>
      <c r="J142" s="93"/>
      <c r="K142" s="93"/>
    </row>
    <row r="143" spans="1:11" x14ac:dyDescent="0.25">
      <c r="A143" s="89"/>
      <c r="B143" s="16"/>
      <c r="C143" s="92"/>
      <c r="D143" s="22"/>
      <c r="E143" s="22"/>
      <c r="F143" s="94"/>
      <c r="G143" s="94"/>
      <c r="H143" s="93"/>
      <c r="I143" s="93"/>
      <c r="J143" s="93"/>
      <c r="K143" s="93"/>
    </row>
    <row r="144" spans="1:11" x14ac:dyDescent="0.25">
      <c r="A144" s="89"/>
      <c r="B144" s="16"/>
      <c r="C144" s="92"/>
      <c r="D144" s="22"/>
      <c r="E144" s="22"/>
      <c r="F144" s="94"/>
      <c r="G144" s="94"/>
      <c r="H144" s="93"/>
      <c r="I144" s="93"/>
      <c r="J144" s="93"/>
      <c r="K144" s="93"/>
    </row>
    <row r="145" spans="1:11" x14ac:dyDescent="0.25">
      <c r="A145" s="89"/>
      <c r="B145" s="14"/>
      <c r="C145" s="92"/>
      <c r="D145" s="22"/>
      <c r="E145" s="22"/>
      <c r="F145" s="94"/>
      <c r="G145" s="94"/>
      <c r="H145" s="93"/>
      <c r="I145" s="93"/>
      <c r="J145" s="93"/>
      <c r="K145" s="93"/>
    </row>
    <row r="146" spans="1:11" x14ac:dyDescent="0.25">
      <c r="A146" s="89"/>
      <c r="B146" s="14"/>
      <c r="C146" s="92"/>
      <c r="D146" s="22"/>
      <c r="E146" s="22"/>
      <c r="F146" s="94"/>
      <c r="G146" s="94"/>
      <c r="H146" s="93"/>
      <c r="I146" s="93"/>
      <c r="J146" s="93"/>
      <c r="K146" s="93"/>
    </row>
    <row r="147" spans="1:11" x14ac:dyDescent="0.25">
      <c r="A147" s="89"/>
      <c r="B147" s="14"/>
      <c r="C147" s="92"/>
      <c r="D147" s="22"/>
      <c r="E147" s="22"/>
      <c r="F147" s="94"/>
      <c r="G147" s="94"/>
      <c r="H147" s="93"/>
      <c r="I147" s="93"/>
      <c r="J147" s="93"/>
      <c r="K147" s="93"/>
    </row>
    <row r="148" spans="1:11" x14ac:dyDescent="0.25">
      <c r="A148" s="89"/>
      <c r="B148" s="14"/>
      <c r="C148" s="92"/>
      <c r="D148" s="22"/>
      <c r="E148" s="22"/>
      <c r="F148" s="94"/>
      <c r="G148" s="94"/>
      <c r="H148" s="93"/>
      <c r="I148" s="93"/>
      <c r="J148" s="93"/>
      <c r="K148" s="93"/>
    </row>
    <row r="149" spans="1:11" x14ac:dyDescent="0.25">
      <c r="A149" s="89"/>
      <c r="B149" s="14"/>
      <c r="C149" s="92"/>
      <c r="D149" s="22"/>
      <c r="E149" s="22"/>
      <c r="F149" s="94"/>
      <c r="G149" s="94"/>
      <c r="H149" s="93"/>
      <c r="I149" s="93"/>
      <c r="J149" s="93"/>
      <c r="K149" s="93"/>
    </row>
    <row r="150" spans="1:11" x14ac:dyDescent="0.25">
      <c r="A150" s="89"/>
      <c r="B150" s="14"/>
      <c r="C150" s="92"/>
      <c r="D150" s="22"/>
      <c r="E150" s="22"/>
      <c r="F150" s="94"/>
      <c r="G150" s="94"/>
      <c r="H150" s="93"/>
      <c r="I150" s="93"/>
      <c r="J150" s="93"/>
      <c r="K150" s="93"/>
    </row>
    <row r="151" spans="1:11" x14ac:dyDescent="0.25">
      <c r="A151" s="89"/>
      <c r="B151" s="16"/>
      <c r="C151" s="92"/>
      <c r="D151" s="22"/>
      <c r="E151" s="22"/>
      <c r="F151" s="94"/>
      <c r="G151" s="94"/>
      <c r="H151" s="93"/>
      <c r="I151" s="93"/>
      <c r="J151" s="93"/>
      <c r="K151" s="93"/>
    </row>
    <row r="152" spans="1:11" x14ac:dyDescent="0.25">
      <c r="A152" s="89"/>
      <c r="B152" s="14"/>
      <c r="C152" s="92"/>
      <c r="D152" s="22"/>
      <c r="E152" s="22"/>
      <c r="F152" s="94"/>
      <c r="G152" s="94"/>
      <c r="H152" s="93"/>
      <c r="I152" s="93"/>
      <c r="J152" s="93"/>
      <c r="K152" s="93"/>
    </row>
    <row r="153" spans="1:11" x14ac:dyDescent="0.25">
      <c r="A153" s="89"/>
      <c r="B153" s="14"/>
      <c r="C153" s="92"/>
      <c r="D153" s="22"/>
      <c r="E153" s="22"/>
      <c r="F153" s="94"/>
      <c r="G153" s="94"/>
      <c r="H153" s="93"/>
      <c r="I153" s="93"/>
      <c r="J153" s="93"/>
      <c r="K153" s="93"/>
    </row>
    <row r="154" spans="1:11" x14ac:dyDescent="0.25">
      <c r="A154" s="89"/>
      <c r="B154" s="14"/>
      <c r="C154" s="92"/>
      <c r="D154" s="22"/>
      <c r="E154" s="22"/>
      <c r="F154" s="94"/>
      <c r="G154" s="94"/>
      <c r="H154" s="93"/>
      <c r="I154" s="93"/>
      <c r="J154" s="93"/>
      <c r="K154" s="93"/>
    </row>
    <row r="155" spans="1:11" x14ac:dyDescent="0.25">
      <c r="A155" s="89"/>
      <c r="B155" s="16"/>
      <c r="C155" s="92"/>
      <c r="D155" s="22"/>
      <c r="E155" s="22"/>
      <c r="F155" s="94"/>
      <c r="G155" s="94"/>
      <c r="H155" s="93"/>
      <c r="I155" s="93"/>
      <c r="J155" s="93"/>
      <c r="K155" s="93"/>
    </row>
    <row r="156" spans="1:11" x14ac:dyDescent="0.25">
      <c r="A156" s="89"/>
      <c r="B156" s="14"/>
      <c r="C156" s="92"/>
      <c r="D156" s="22"/>
      <c r="E156" s="22"/>
      <c r="F156" s="94"/>
      <c r="G156" s="94"/>
      <c r="H156" s="93"/>
      <c r="I156" s="93"/>
      <c r="J156" s="93"/>
      <c r="K156" s="93"/>
    </row>
    <row r="157" spans="1:11" x14ac:dyDescent="0.25">
      <c r="A157" s="89"/>
      <c r="B157" s="14"/>
      <c r="C157" s="92"/>
      <c r="D157" s="22"/>
      <c r="E157" s="22"/>
      <c r="F157" s="94"/>
      <c r="G157" s="94"/>
      <c r="H157" s="93"/>
      <c r="I157" s="93"/>
      <c r="J157" s="93"/>
      <c r="K157" s="93"/>
    </row>
    <row r="158" spans="1:11" x14ac:dyDescent="0.25">
      <c r="A158" s="89"/>
      <c r="B158" s="16"/>
      <c r="C158" s="92"/>
      <c r="D158" s="22"/>
      <c r="E158" s="22"/>
      <c r="F158" s="94"/>
      <c r="G158" s="94"/>
      <c r="H158" s="93"/>
      <c r="I158" s="93"/>
      <c r="J158" s="93"/>
      <c r="K158" s="93"/>
    </row>
    <row r="159" spans="1:11" x14ac:dyDescent="0.25">
      <c r="A159" s="89"/>
      <c r="B159" s="14"/>
      <c r="C159" s="92"/>
      <c r="D159" s="22"/>
      <c r="E159" s="22"/>
      <c r="F159" s="94"/>
      <c r="G159" s="94"/>
      <c r="H159" s="93"/>
      <c r="I159" s="93"/>
      <c r="J159" s="93"/>
      <c r="K159" s="93"/>
    </row>
    <row r="160" spans="1:11" x14ac:dyDescent="0.25">
      <c r="A160" s="89"/>
      <c r="B160" s="14"/>
      <c r="C160" s="92"/>
      <c r="D160" s="22"/>
      <c r="E160" s="22"/>
      <c r="F160" s="94"/>
      <c r="G160" s="94"/>
      <c r="H160" s="93"/>
      <c r="I160" s="93"/>
      <c r="J160" s="93"/>
      <c r="K160" s="93"/>
    </row>
    <row r="161" spans="1:11" x14ac:dyDescent="0.25">
      <c r="A161" s="89"/>
      <c r="B161" s="14"/>
      <c r="C161" s="92"/>
      <c r="D161" s="22"/>
      <c r="E161" s="22"/>
      <c r="F161" s="94"/>
      <c r="G161" s="94"/>
      <c r="H161" s="93"/>
      <c r="I161" s="93"/>
      <c r="J161" s="93"/>
      <c r="K161" s="93"/>
    </row>
    <row r="162" spans="1:11" x14ac:dyDescent="0.25">
      <c r="A162" s="89"/>
      <c r="B162" s="16"/>
      <c r="C162" s="92"/>
      <c r="D162" s="22"/>
      <c r="E162" s="22"/>
      <c r="F162" s="94"/>
      <c r="G162" s="94"/>
      <c r="H162" s="93"/>
      <c r="I162" s="93"/>
      <c r="J162" s="93"/>
      <c r="K162" s="93"/>
    </row>
    <row r="163" spans="1:11" x14ac:dyDescent="0.25">
      <c r="A163" s="89"/>
      <c r="B163" s="14"/>
      <c r="C163" s="92"/>
      <c r="D163" s="22"/>
      <c r="E163" s="22"/>
      <c r="F163" s="94"/>
      <c r="G163" s="94"/>
      <c r="H163" s="93"/>
      <c r="I163" s="93"/>
      <c r="J163" s="93"/>
      <c r="K163" s="93"/>
    </row>
    <row r="164" spans="1:11" x14ac:dyDescent="0.25">
      <c r="A164" s="89"/>
      <c r="B164" s="16"/>
      <c r="C164" s="92"/>
      <c r="D164" s="22"/>
      <c r="E164" s="22"/>
      <c r="F164" s="94"/>
      <c r="G164" s="94"/>
      <c r="H164" s="93"/>
      <c r="I164" s="93"/>
      <c r="J164" s="93"/>
      <c r="K164" s="93"/>
    </row>
    <row r="165" spans="1:11" x14ac:dyDescent="0.25">
      <c r="A165" s="89"/>
      <c r="B165" s="14"/>
      <c r="C165" s="92"/>
      <c r="D165" s="22"/>
      <c r="E165" s="22"/>
      <c r="F165" s="94"/>
      <c r="G165" s="94"/>
      <c r="H165" s="93"/>
      <c r="I165" s="93"/>
      <c r="J165" s="93"/>
      <c r="K165" s="93"/>
    </row>
    <row r="166" spans="1:11" x14ac:dyDescent="0.25">
      <c r="A166" s="89"/>
      <c r="B166" s="14"/>
      <c r="C166" s="92"/>
      <c r="D166" s="22"/>
      <c r="E166" s="22"/>
      <c r="F166" s="94"/>
      <c r="G166" s="94"/>
      <c r="H166" s="93"/>
      <c r="I166" s="93"/>
      <c r="J166" s="93"/>
      <c r="K166" s="93"/>
    </row>
    <row r="167" spans="1:11" x14ac:dyDescent="0.25">
      <c r="A167" s="89"/>
      <c r="B167" s="16"/>
      <c r="C167" s="92"/>
      <c r="D167" s="22"/>
      <c r="E167" s="22"/>
      <c r="F167" s="94"/>
      <c r="G167" s="94"/>
      <c r="H167" s="93"/>
      <c r="I167" s="93"/>
      <c r="J167" s="93"/>
      <c r="K167" s="93"/>
    </row>
    <row r="168" spans="1:11" x14ac:dyDescent="0.25">
      <c r="A168" s="89"/>
      <c r="B168" s="14"/>
      <c r="C168" s="92"/>
      <c r="D168" s="22"/>
      <c r="E168" s="22"/>
      <c r="F168" s="94"/>
      <c r="G168" s="94"/>
      <c r="H168" s="93"/>
      <c r="I168" s="93"/>
      <c r="J168" s="93"/>
      <c r="K168" s="93"/>
    </row>
    <row r="169" spans="1:11" x14ac:dyDescent="0.25">
      <c r="A169" s="89"/>
      <c r="B169" s="16"/>
      <c r="C169" s="92"/>
      <c r="D169" s="22"/>
      <c r="E169" s="22"/>
      <c r="F169" s="94"/>
      <c r="G169" s="94"/>
      <c r="H169" s="93"/>
      <c r="I169" s="93"/>
      <c r="J169" s="93"/>
      <c r="K169" s="93"/>
    </row>
    <row r="170" spans="1:11" x14ac:dyDescent="0.25">
      <c r="A170" s="89"/>
      <c r="B170" s="14"/>
      <c r="C170" s="92"/>
      <c r="D170" s="22"/>
      <c r="E170" s="22"/>
      <c r="F170" s="94"/>
      <c r="G170" s="94"/>
      <c r="H170" s="93"/>
      <c r="I170" s="93"/>
      <c r="J170" s="93"/>
      <c r="K170" s="93"/>
    </row>
    <row r="171" spans="1:11" x14ac:dyDescent="0.25">
      <c r="A171" s="89"/>
      <c r="B171" s="16"/>
      <c r="C171" s="92"/>
      <c r="D171" s="22"/>
      <c r="E171" s="22"/>
      <c r="F171" s="21"/>
      <c r="H171" s="93"/>
      <c r="I171" s="93"/>
      <c r="J171" s="93"/>
      <c r="K171" s="93"/>
    </row>
    <row r="172" spans="1:11" x14ac:dyDescent="0.25">
      <c r="A172" s="89"/>
      <c r="B172" s="14"/>
      <c r="C172" s="92"/>
      <c r="D172" s="22"/>
      <c r="E172" s="22"/>
      <c r="F172" s="21"/>
      <c r="H172" s="93"/>
      <c r="I172" s="93"/>
      <c r="J172" s="93"/>
      <c r="K172" s="93"/>
    </row>
    <row r="173" spans="1:11" x14ac:dyDescent="0.25">
      <c r="A173" s="89"/>
      <c r="B173" s="14"/>
      <c r="C173" s="92"/>
      <c r="D173" s="22"/>
      <c r="E173" s="22"/>
      <c r="F173" s="21"/>
      <c r="H173" s="93"/>
      <c r="I173" s="93"/>
      <c r="J173" s="93"/>
      <c r="K173" s="93"/>
    </row>
    <row r="174" spans="1:11" x14ac:dyDescent="0.25">
      <c r="A174" s="89"/>
      <c r="B174" s="14"/>
      <c r="C174" s="92"/>
      <c r="D174" s="22"/>
      <c r="E174" s="22"/>
      <c r="F174" s="21"/>
      <c r="H174" s="93"/>
      <c r="I174" s="93"/>
      <c r="J174" s="93"/>
      <c r="K174" s="93"/>
    </row>
    <row r="175" spans="1:11" x14ac:dyDescent="0.25">
      <c r="A175" s="89"/>
      <c r="B175" s="16"/>
      <c r="C175" s="92"/>
      <c r="D175" s="22"/>
      <c r="E175" s="22"/>
      <c r="F175" s="21"/>
      <c r="H175" s="93"/>
      <c r="I175" s="93"/>
      <c r="J175" s="93"/>
      <c r="K175" s="93"/>
    </row>
    <row r="176" spans="1:11" x14ac:dyDescent="0.25">
      <c r="A176" s="89"/>
      <c r="B176" s="16"/>
      <c r="C176" s="92"/>
      <c r="D176" s="22"/>
      <c r="E176" s="22"/>
      <c r="F176" s="21"/>
      <c r="H176" s="93"/>
      <c r="I176" s="93"/>
      <c r="J176" s="93"/>
      <c r="K176" s="93"/>
    </row>
    <row r="177" spans="1:11" x14ac:dyDescent="0.25">
      <c r="A177" s="89"/>
      <c r="B177" s="14"/>
      <c r="C177" s="92"/>
      <c r="D177" s="22"/>
      <c r="E177" s="22"/>
      <c r="F177" s="21"/>
      <c r="H177" s="93"/>
      <c r="I177" s="93"/>
      <c r="J177" s="93"/>
      <c r="K177" s="93"/>
    </row>
    <row r="178" spans="1:11" x14ac:dyDescent="0.25">
      <c r="A178" s="89"/>
      <c r="B178" s="16"/>
      <c r="C178" s="92"/>
      <c r="D178" s="22"/>
      <c r="E178" s="22"/>
      <c r="F178" s="21"/>
      <c r="H178" s="93"/>
      <c r="I178" s="93"/>
      <c r="J178" s="93"/>
      <c r="K178" s="93"/>
    </row>
    <row r="179" spans="1:11" x14ac:dyDescent="0.25">
      <c r="A179" s="89"/>
      <c r="B179" s="14"/>
      <c r="C179" s="92"/>
      <c r="D179" s="22"/>
      <c r="E179" s="22"/>
      <c r="F179" s="21"/>
      <c r="H179" s="93"/>
      <c r="I179" s="93"/>
      <c r="J179" s="93"/>
      <c r="K179" s="93"/>
    </row>
    <row r="180" spans="1:11" x14ac:dyDescent="0.25">
      <c r="A180" s="89"/>
      <c r="B180" s="14"/>
      <c r="C180" s="92"/>
      <c r="D180" s="22"/>
      <c r="E180" s="22"/>
      <c r="F180" s="21"/>
      <c r="H180" s="93"/>
      <c r="I180" s="93"/>
      <c r="J180" s="93"/>
      <c r="K180" s="93"/>
    </row>
    <row r="181" spans="1:11" x14ac:dyDescent="0.25">
      <c r="A181" s="89"/>
      <c r="B181" s="14"/>
      <c r="C181" s="92"/>
      <c r="D181" s="22"/>
      <c r="E181" s="22"/>
      <c r="F181" s="21"/>
      <c r="H181" s="93"/>
      <c r="I181" s="93"/>
      <c r="J181" s="93"/>
      <c r="K181" s="93"/>
    </row>
    <row r="182" spans="1:11" x14ac:dyDescent="0.25">
      <c r="A182" s="89"/>
      <c r="B182" s="14"/>
      <c r="C182" s="92"/>
      <c r="D182" s="22"/>
      <c r="E182" s="22"/>
      <c r="F182" s="21"/>
      <c r="H182" s="93"/>
      <c r="I182" s="93"/>
      <c r="J182" s="93"/>
      <c r="K182" s="93"/>
    </row>
    <row r="183" spans="1:11" x14ac:dyDescent="0.25">
      <c r="A183" s="89"/>
      <c r="B183" s="16"/>
      <c r="C183" s="92"/>
      <c r="D183" s="22"/>
      <c r="E183" s="22"/>
      <c r="F183" s="21"/>
      <c r="H183" s="93"/>
      <c r="I183" s="93"/>
      <c r="J183" s="93"/>
      <c r="K183" s="93"/>
    </row>
    <row r="184" spans="1:11" x14ac:dyDescent="0.25">
      <c r="A184" s="89"/>
      <c r="B184" s="14"/>
      <c r="C184" s="92"/>
      <c r="D184" s="22"/>
      <c r="E184" s="22"/>
      <c r="F184" s="21"/>
      <c r="H184" s="93"/>
      <c r="I184" s="93"/>
      <c r="J184" s="93"/>
      <c r="K184" s="93"/>
    </row>
    <row r="185" spans="1:11" x14ac:dyDescent="0.25">
      <c r="A185" s="89"/>
      <c r="B185" s="14"/>
      <c r="C185" s="92"/>
      <c r="D185" s="22"/>
      <c r="E185" s="22"/>
      <c r="F185" s="21"/>
      <c r="H185" s="93"/>
      <c r="I185" s="93"/>
      <c r="J185" s="93"/>
      <c r="K185" s="93"/>
    </row>
    <row r="186" spans="1:11" x14ac:dyDescent="0.25">
      <c r="A186" s="89"/>
      <c r="B186" s="16"/>
      <c r="C186" s="92"/>
      <c r="D186" s="22"/>
      <c r="E186" s="22"/>
      <c r="F186" s="21"/>
      <c r="H186" s="93"/>
      <c r="I186" s="93"/>
      <c r="J186" s="93"/>
      <c r="K186" s="93"/>
    </row>
    <row r="187" spans="1:11" x14ac:dyDescent="0.25">
      <c r="A187" s="89"/>
      <c r="B187" s="16"/>
      <c r="C187" s="92"/>
      <c r="D187" s="22"/>
      <c r="E187" s="22"/>
      <c r="F187" s="21"/>
      <c r="H187" s="93"/>
      <c r="I187" s="93"/>
      <c r="J187" s="93"/>
      <c r="K187" s="93"/>
    </row>
    <row r="188" spans="1:11" x14ac:dyDescent="0.25">
      <c r="A188" s="89"/>
      <c r="B188" s="16"/>
      <c r="C188" s="92"/>
      <c r="D188" s="22"/>
      <c r="E188" s="22"/>
      <c r="F188" s="21"/>
      <c r="H188" s="93"/>
      <c r="I188" s="93"/>
      <c r="J188" s="93"/>
      <c r="K188" s="93"/>
    </row>
    <row r="189" spans="1:11" x14ac:dyDescent="0.25">
      <c r="A189" s="89"/>
      <c r="B189" s="14"/>
      <c r="C189" s="92"/>
      <c r="D189" s="22"/>
      <c r="E189" s="22"/>
      <c r="F189" s="21"/>
      <c r="H189" s="93"/>
      <c r="I189" s="93"/>
      <c r="J189" s="93"/>
      <c r="K189" s="93"/>
    </row>
    <row r="190" spans="1:11" x14ac:dyDescent="0.25">
      <c r="A190" s="89"/>
      <c r="B190" s="14"/>
      <c r="C190" s="92"/>
      <c r="D190" s="22"/>
      <c r="E190" s="22"/>
      <c r="F190" s="21"/>
      <c r="H190" s="93"/>
      <c r="I190" s="93"/>
      <c r="J190" s="93"/>
      <c r="K190" s="93"/>
    </row>
    <row r="191" spans="1:11" x14ac:dyDescent="0.25">
      <c r="A191" s="89"/>
      <c r="B191" s="16"/>
      <c r="C191" s="92"/>
      <c r="D191" s="22"/>
      <c r="E191" s="22"/>
      <c r="F191" s="21"/>
      <c r="H191" s="93"/>
      <c r="I191" s="93"/>
      <c r="J191" s="93"/>
      <c r="K191" s="93"/>
    </row>
    <row r="192" spans="1:11" x14ac:dyDescent="0.25">
      <c r="A192" s="89"/>
      <c r="B192" s="14"/>
      <c r="C192" s="92"/>
      <c r="D192" s="22"/>
      <c r="E192" s="22"/>
      <c r="F192" s="21"/>
      <c r="H192" s="93"/>
      <c r="I192" s="93"/>
      <c r="J192" s="93"/>
      <c r="K192" s="93"/>
    </row>
    <row r="193" spans="1:11" x14ac:dyDescent="0.25">
      <c r="A193" s="89"/>
      <c r="B193" s="14"/>
      <c r="C193" s="92"/>
      <c r="D193" s="22"/>
      <c r="E193" s="22"/>
      <c r="F193" s="21"/>
      <c r="H193" s="93"/>
      <c r="I193" s="93"/>
      <c r="J193" s="93"/>
      <c r="K193" s="93"/>
    </row>
    <row r="194" spans="1:11" x14ac:dyDescent="0.25">
      <c r="A194" s="89"/>
      <c r="B194" s="14"/>
      <c r="C194" s="92"/>
      <c r="D194" s="22"/>
      <c r="E194" s="22"/>
      <c r="F194" s="21"/>
      <c r="H194" s="93"/>
      <c r="I194" s="93"/>
      <c r="J194" s="93"/>
      <c r="K194" s="93"/>
    </row>
    <row r="195" spans="1:11" x14ac:dyDescent="0.25">
      <c r="A195" s="89"/>
      <c r="B195" s="14"/>
      <c r="C195" s="92"/>
      <c r="D195" s="22"/>
      <c r="E195" s="22"/>
      <c r="F195" s="21"/>
      <c r="H195" s="93"/>
      <c r="I195" s="93"/>
      <c r="J195" s="93"/>
      <c r="K195" s="93"/>
    </row>
    <row r="196" spans="1:11" x14ac:dyDescent="0.25">
      <c r="A196" s="89"/>
      <c r="B196" s="16"/>
      <c r="C196" s="92"/>
      <c r="D196" s="22"/>
      <c r="E196" s="22"/>
      <c r="F196" s="21"/>
      <c r="H196" s="93"/>
      <c r="I196" s="93"/>
      <c r="J196" s="93"/>
      <c r="K196" s="93"/>
    </row>
    <row r="197" spans="1:11" x14ac:dyDescent="0.25">
      <c r="A197" s="89"/>
      <c r="B197" s="14"/>
      <c r="C197" s="92"/>
      <c r="D197" s="22"/>
      <c r="E197" s="22"/>
      <c r="F197" s="21"/>
      <c r="H197" s="93"/>
      <c r="I197" s="93"/>
      <c r="J197" s="93"/>
      <c r="K197" s="93"/>
    </row>
    <row r="198" spans="1:11" x14ac:dyDescent="0.25">
      <c r="A198" s="89"/>
      <c r="B198" s="16"/>
      <c r="C198" s="92"/>
      <c r="D198" s="22"/>
      <c r="E198" s="22"/>
      <c r="F198" s="21"/>
      <c r="H198" s="93"/>
      <c r="I198" s="93"/>
      <c r="J198" s="93"/>
      <c r="K198" s="93"/>
    </row>
    <row r="199" spans="1:11" x14ac:dyDescent="0.25">
      <c r="A199" s="89"/>
      <c r="B199" s="14"/>
      <c r="C199" s="92"/>
      <c r="D199" s="22"/>
      <c r="E199" s="22"/>
      <c r="F199" s="21"/>
      <c r="H199" s="93"/>
      <c r="I199" s="93"/>
      <c r="J199" s="93"/>
      <c r="K199" s="93"/>
    </row>
    <row r="200" spans="1:11" x14ac:dyDescent="0.25">
      <c r="A200" s="89"/>
      <c r="B200" s="16"/>
      <c r="C200" s="92"/>
      <c r="D200" s="22"/>
      <c r="E200" s="22"/>
      <c r="F200" s="21"/>
      <c r="H200" s="93"/>
      <c r="I200" s="93"/>
      <c r="J200" s="93"/>
      <c r="K200" s="93"/>
    </row>
    <row r="201" spans="1:11" x14ac:dyDescent="0.25">
      <c r="A201" s="89"/>
      <c r="B201" s="16"/>
      <c r="C201" s="92"/>
      <c r="D201" s="22"/>
      <c r="E201" s="22"/>
      <c r="F201" s="21"/>
      <c r="H201" s="93"/>
      <c r="I201" s="93"/>
      <c r="J201" s="93"/>
      <c r="K201" s="93"/>
    </row>
    <row r="202" spans="1:11" x14ac:dyDescent="0.25">
      <c r="A202" s="89"/>
      <c r="B202" s="14"/>
      <c r="C202" s="92"/>
      <c r="D202" s="22"/>
      <c r="E202" s="22"/>
      <c r="F202" s="21"/>
      <c r="H202" s="93"/>
      <c r="I202" s="93"/>
      <c r="J202" s="93"/>
      <c r="K202" s="93"/>
    </row>
    <row r="203" spans="1:11" x14ac:dyDescent="0.25">
      <c r="A203" s="89"/>
      <c r="B203" s="16"/>
      <c r="C203" s="92"/>
      <c r="D203" s="22"/>
      <c r="E203" s="22"/>
      <c r="F203" s="21"/>
      <c r="H203" s="93"/>
      <c r="I203" s="93"/>
      <c r="J203" s="93"/>
      <c r="K203" s="93"/>
    </row>
    <row r="204" spans="1:11" x14ac:dyDescent="0.25">
      <c r="A204" s="89"/>
      <c r="B204" s="16"/>
      <c r="C204" s="92"/>
      <c r="D204" s="22"/>
      <c r="E204" s="22"/>
      <c r="F204" s="21"/>
      <c r="H204" s="93"/>
      <c r="I204" s="93"/>
      <c r="J204" s="93"/>
      <c r="K204" s="93"/>
    </row>
    <row r="205" spans="1:11" x14ac:dyDescent="0.25">
      <c r="A205" s="89"/>
      <c r="B205" s="14"/>
      <c r="C205" s="92"/>
      <c r="D205" s="22"/>
      <c r="E205" s="22"/>
      <c r="F205" s="21"/>
      <c r="H205" s="93"/>
      <c r="I205" s="93"/>
      <c r="J205" s="93"/>
      <c r="K205" s="93"/>
    </row>
    <row r="206" spans="1:11" x14ac:dyDescent="0.25">
      <c r="A206" s="89"/>
      <c r="B206" s="16"/>
      <c r="C206" s="92"/>
      <c r="D206" s="22"/>
      <c r="E206" s="22"/>
      <c r="F206" s="21"/>
      <c r="H206" s="93"/>
      <c r="I206" s="93"/>
      <c r="J206" s="93"/>
      <c r="K206" s="93"/>
    </row>
    <row r="207" spans="1:11" x14ac:dyDescent="0.25">
      <c r="A207" s="89"/>
      <c r="B207" s="14"/>
      <c r="C207" s="92"/>
      <c r="D207" s="22"/>
      <c r="E207" s="22"/>
      <c r="F207" s="21"/>
      <c r="H207" s="93"/>
      <c r="I207" s="93"/>
      <c r="J207" s="93"/>
      <c r="K207" s="93"/>
    </row>
    <row r="208" spans="1:11" x14ac:dyDescent="0.25">
      <c r="A208" s="89"/>
      <c r="B208" s="14"/>
      <c r="C208" s="92"/>
      <c r="D208" s="22"/>
      <c r="E208" s="22"/>
      <c r="F208" s="21"/>
      <c r="H208" s="93"/>
      <c r="I208" s="93"/>
      <c r="J208" s="93"/>
      <c r="K208" s="93"/>
    </row>
    <row r="209" spans="1:11" x14ac:dyDescent="0.25">
      <c r="A209" s="89"/>
      <c r="B209" s="16"/>
      <c r="C209" s="92"/>
      <c r="D209" s="22"/>
      <c r="E209" s="22"/>
      <c r="F209" s="21"/>
      <c r="H209" s="93"/>
      <c r="I209" s="93"/>
      <c r="J209" s="93"/>
      <c r="K209" s="93"/>
    </row>
    <row r="210" spans="1:11" x14ac:dyDescent="0.25">
      <c r="A210" s="89"/>
      <c r="B210" s="16"/>
      <c r="C210" s="92"/>
      <c r="D210" s="22"/>
      <c r="E210" s="22"/>
      <c r="F210" s="21"/>
      <c r="H210" s="93"/>
      <c r="I210" s="93"/>
      <c r="J210" s="93"/>
      <c r="K210" s="93"/>
    </row>
    <row r="211" spans="1:11" x14ac:dyDescent="0.25">
      <c r="A211" s="89"/>
      <c r="B211" s="16"/>
      <c r="C211" s="92"/>
      <c r="D211" s="22"/>
      <c r="E211" s="22"/>
      <c r="F211" s="21"/>
      <c r="H211" s="93"/>
      <c r="I211" s="93"/>
      <c r="J211" s="93"/>
      <c r="K211" s="93"/>
    </row>
    <row r="212" spans="1:11" x14ac:dyDescent="0.25">
      <c r="A212" s="89"/>
      <c r="B212" s="16"/>
      <c r="C212" s="92"/>
      <c r="D212" s="22"/>
      <c r="E212" s="22"/>
      <c r="F212" s="21"/>
      <c r="H212" s="93"/>
      <c r="I212" s="93"/>
      <c r="J212" s="93"/>
      <c r="K212" s="93"/>
    </row>
    <row r="213" spans="1:11" x14ac:dyDescent="0.25">
      <c r="A213" s="89"/>
      <c r="B213" s="16"/>
      <c r="C213" s="92"/>
      <c r="D213" s="22"/>
      <c r="E213" s="22"/>
      <c r="F213" s="21"/>
      <c r="H213" s="93"/>
      <c r="I213" s="93"/>
      <c r="J213" s="93"/>
      <c r="K213" s="93"/>
    </row>
    <row r="214" spans="1:11" x14ac:dyDescent="0.25">
      <c r="A214" s="89"/>
      <c r="B214" s="14"/>
      <c r="C214" s="92"/>
      <c r="D214" s="22"/>
      <c r="E214" s="22"/>
      <c r="F214" s="21"/>
      <c r="H214" s="93"/>
      <c r="I214" s="93"/>
      <c r="J214" s="93"/>
      <c r="K214" s="93"/>
    </row>
    <row r="215" spans="1:11" x14ac:dyDescent="0.25">
      <c r="A215" s="89"/>
      <c r="B215" s="14"/>
      <c r="C215" s="92"/>
      <c r="D215" s="22"/>
      <c r="E215" s="22"/>
      <c r="F215" s="21"/>
      <c r="H215" s="93"/>
      <c r="I215" s="93"/>
      <c r="J215" s="93"/>
      <c r="K215" s="93"/>
    </row>
    <row r="216" spans="1:11" x14ac:dyDescent="0.25">
      <c r="A216" s="89"/>
      <c r="B216" s="16"/>
      <c r="C216" s="92"/>
      <c r="D216" s="22"/>
      <c r="E216" s="22"/>
      <c r="F216" s="21"/>
      <c r="H216" s="93"/>
      <c r="I216" s="93"/>
      <c r="J216" s="93"/>
      <c r="K216" s="93"/>
    </row>
    <row r="217" spans="1:11" x14ac:dyDescent="0.25">
      <c r="A217" s="89"/>
      <c r="B217" s="16"/>
      <c r="C217" s="92"/>
      <c r="D217" s="22"/>
      <c r="E217" s="22"/>
      <c r="F217" s="21"/>
      <c r="H217" s="93"/>
      <c r="I217" s="93"/>
      <c r="J217" s="93"/>
      <c r="K217" s="93"/>
    </row>
    <row r="218" spans="1:11" x14ac:dyDescent="0.25">
      <c r="A218" s="89"/>
      <c r="B218" s="14"/>
      <c r="C218" s="92"/>
      <c r="D218" s="22"/>
      <c r="E218" s="22"/>
      <c r="F218" s="21"/>
      <c r="H218" s="93"/>
      <c r="I218" s="93"/>
      <c r="J218" s="93"/>
      <c r="K218" s="93"/>
    </row>
    <row r="219" spans="1:11" x14ac:dyDescent="0.25">
      <c r="A219" s="89"/>
      <c r="B219" s="16"/>
      <c r="C219" s="92"/>
      <c r="D219" s="22"/>
      <c r="E219" s="22"/>
      <c r="F219" s="21"/>
      <c r="H219" s="93"/>
      <c r="I219" s="93"/>
      <c r="J219" s="93"/>
      <c r="K219" s="93"/>
    </row>
    <row r="220" spans="1:11" x14ac:dyDescent="0.25">
      <c r="A220" s="89"/>
      <c r="B220" s="16"/>
      <c r="C220" s="92"/>
      <c r="D220" s="22"/>
      <c r="E220" s="22"/>
      <c r="F220" s="21"/>
      <c r="H220" s="93"/>
      <c r="I220" s="93"/>
      <c r="J220" s="93"/>
      <c r="K220" s="93"/>
    </row>
    <row r="221" spans="1:11" x14ac:dyDescent="0.25">
      <c r="A221" s="89"/>
      <c r="B221" s="16"/>
      <c r="C221" s="92"/>
      <c r="D221" s="22"/>
      <c r="E221" s="22"/>
      <c r="F221" s="21"/>
      <c r="H221" s="93"/>
      <c r="I221" s="93"/>
      <c r="J221" s="93"/>
      <c r="K221" s="93"/>
    </row>
    <row r="222" spans="1:11" x14ac:dyDescent="0.25">
      <c r="A222" s="89"/>
      <c r="B222" s="16"/>
      <c r="C222" s="92"/>
      <c r="D222" s="22"/>
      <c r="E222" s="22"/>
      <c r="F222" s="21"/>
      <c r="H222" s="93"/>
      <c r="I222" s="93"/>
      <c r="J222" s="93"/>
      <c r="K222" s="93"/>
    </row>
    <row r="223" spans="1:11" x14ac:dyDescent="0.25">
      <c r="A223" s="89"/>
      <c r="B223" s="16"/>
      <c r="C223" s="92"/>
      <c r="D223" s="22"/>
      <c r="E223" s="22"/>
      <c r="F223" s="21"/>
      <c r="H223" s="93"/>
      <c r="I223" s="93"/>
      <c r="J223" s="93"/>
      <c r="K223" s="93"/>
    </row>
    <row r="224" spans="1:11" x14ac:dyDescent="0.25">
      <c r="A224" s="89"/>
      <c r="B224" s="14"/>
      <c r="C224" s="92"/>
      <c r="D224" s="22"/>
      <c r="E224" s="22"/>
      <c r="F224" s="21"/>
      <c r="H224" s="93"/>
      <c r="I224" s="93"/>
      <c r="J224" s="93"/>
      <c r="K224" s="93"/>
    </row>
    <row r="225" spans="1:11" x14ac:dyDescent="0.25">
      <c r="A225" s="89"/>
      <c r="B225" s="16"/>
      <c r="C225" s="92"/>
      <c r="D225" s="22"/>
      <c r="E225" s="22"/>
      <c r="F225" s="21"/>
      <c r="H225" s="93"/>
      <c r="I225" s="93"/>
      <c r="J225" s="93"/>
      <c r="K225" s="93"/>
    </row>
    <row r="226" spans="1:11" x14ac:dyDescent="0.25">
      <c r="A226" s="89"/>
      <c r="B226" s="14"/>
      <c r="C226" s="92"/>
      <c r="D226" s="22"/>
      <c r="E226" s="22"/>
      <c r="F226" s="21"/>
      <c r="H226" s="93"/>
      <c r="I226" s="93"/>
      <c r="J226" s="93"/>
      <c r="K226" s="93"/>
    </row>
    <row r="227" spans="1:11" x14ac:dyDescent="0.25">
      <c r="A227" s="89"/>
      <c r="B227" s="14"/>
      <c r="C227" s="92"/>
      <c r="D227" s="22"/>
      <c r="E227" s="22"/>
      <c r="F227" s="21"/>
      <c r="H227" s="93"/>
      <c r="I227" s="93"/>
      <c r="J227" s="93"/>
      <c r="K227" s="93"/>
    </row>
    <row r="228" spans="1:11" x14ac:dyDescent="0.25">
      <c r="A228" s="89"/>
      <c r="B228" s="14"/>
      <c r="C228" s="92"/>
      <c r="D228" s="22"/>
      <c r="E228" s="22"/>
      <c r="F228" s="21"/>
      <c r="H228" s="93"/>
      <c r="I228" s="93"/>
      <c r="J228" s="93"/>
      <c r="K228" s="93"/>
    </row>
    <row r="229" spans="1:11" x14ac:dyDescent="0.25">
      <c r="A229" s="89"/>
      <c r="B229" s="14"/>
      <c r="C229" s="92"/>
      <c r="D229" s="22"/>
      <c r="E229" s="22"/>
      <c r="F229" s="21"/>
      <c r="H229" s="93"/>
      <c r="I229" s="93"/>
      <c r="J229" s="93"/>
      <c r="K229" s="93"/>
    </row>
    <row r="230" spans="1:11" x14ac:dyDescent="0.25">
      <c r="A230" s="89"/>
      <c r="B230" s="14"/>
      <c r="C230" s="92"/>
      <c r="D230" s="22"/>
      <c r="E230" s="22"/>
      <c r="F230" s="95"/>
      <c r="H230" s="93"/>
      <c r="I230" s="93"/>
      <c r="J230" s="93"/>
      <c r="K230" s="93"/>
    </row>
    <row r="231" spans="1:11" x14ac:dyDescent="0.25">
      <c r="A231" s="89"/>
      <c r="B231" s="14"/>
      <c r="C231" s="92"/>
      <c r="D231" s="22"/>
      <c r="E231" s="22"/>
      <c r="F231" s="95"/>
      <c r="H231" s="93"/>
      <c r="I231" s="93"/>
      <c r="J231" s="93"/>
      <c r="K231" s="93"/>
    </row>
    <row r="232" spans="1:11" x14ac:dyDescent="0.25">
      <c r="A232" s="89"/>
      <c r="B232" s="14"/>
      <c r="C232" s="92"/>
      <c r="D232" s="22"/>
      <c r="E232" s="22"/>
      <c r="F232" s="95"/>
      <c r="H232" s="93"/>
      <c r="I232" s="93"/>
      <c r="J232" s="93"/>
      <c r="K232" s="93"/>
    </row>
    <row r="233" spans="1:11" x14ac:dyDescent="0.25">
      <c r="A233" s="89"/>
      <c r="B233" s="14"/>
      <c r="C233" s="92"/>
      <c r="D233" s="22"/>
      <c r="E233" s="22"/>
      <c r="F233" s="95"/>
      <c r="H233" s="93"/>
      <c r="I233" s="93"/>
      <c r="J233" s="93"/>
      <c r="K233" s="93"/>
    </row>
    <row r="234" spans="1:11" x14ac:dyDescent="0.25">
      <c r="A234" s="89"/>
      <c r="B234" s="14"/>
      <c r="C234" s="92"/>
      <c r="D234" s="22"/>
      <c r="E234" s="22"/>
      <c r="F234" s="95"/>
      <c r="H234" s="93"/>
      <c r="I234" s="93"/>
      <c r="J234" s="93"/>
      <c r="K234" s="93"/>
    </row>
    <row r="235" spans="1:11" x14ac:dyDescent="0.25">
      <c r="A235" s="89"/>
      <c r="B235" s="16"/>
      <c r="C235" s="92"/>
      <c r="D235" s="22"/>
      <c r="E235" s="22"/>
      <c r="F235" s="95"/>
      <c r="H235" s="93"/>
      <c r="I235" s="93"/>
      <c r="J235" s="93"/>
      <c r="K235" s="93"/>
    </row>
    <row r="236" spans="1:11" x14ac:dyDescent="0.25">
      <c r="A236" s="89"/>
      <c r="B236" s="16"/>
      <c r="C236" s="92"/>
      <c r="D236" s="22"/>
      <c r="E236" s="22"/>
      <c r="F236" s="95"/>
      <c r="H236" s="93"/>
      <c r="I236" s="93"/>
      <c r="J236" s="93"/>
      <c r="K236" s="93"/>
    </row>
    <row r="237" spans="1:11" x14ac:dyDescent="0.25">
      <c r="A237" s="89"/>
      <c r="B237" s="16"/>
      <c r="C237" s="92"/>
      <c r="D237" s="22"/>
      <c r="E237" s="22"/>
      <c r="F237" s="95"/>
      <c r="H237" s="93"/>
      <c r="I237" s="93"/>
      <c r="J237" s="93"/>
      <c r="K237" s="93"/>
    </row>
    <row r="238" spans="1:11" x14ac:dyDescent="0.25">
      <c r="A238" s="89"/>
      <c r="B238" s="16"/>
      <c r="C238" s="92"/>
      <c r="D238" s="22"/>
      <c r="E238" s="22"/>
      <c r="F238" s="95"/>
      <c r="H238" s="93"/>
      <c r="I238" s="93"/>
      <c r="J238" s="93"/>
      <c r="K238" s="93"/>
    </row>
    <row r="239" spans="1:11" x14ac:dyDescent="0.25">
      <c r="A239" s="89"/>
      <c r="B239" s="16"/>
      <c r="C239" s="92"/>
      <c r="D239" s="22"/>
      <c r="E239" s="22"/>
      <c r="F239" s="95"/>
      <c r="H239" s="93"/>
      <c r="I239" s="93"/>
      <c r="J239" s="93"/>
      <c r="K239" s="93"/>
    </row>
    <row r="240" spans="1:11" x14ac:dyDescent="0.25">
      <c r="A240" s="89"/>
      <c r="B240" s="14"/>
      <c r="C240" s="92"/>
      <c r="D240" s="22"/>
      <c r="E240" s="22"/>
      <c r="F240" s="95"/>
      <c r="H240" s="93"/>
      <c r="I240" s="93"/>
      <c r="J240" s="93"/>
      <c r="K240" s="93"/>
    </row>
    <row r="241" spans="1:11" x14ac:dyDescent="0.25">
      <c r="A241" s="89"/>
      <c r="B241" s="14"/>
      <c r="C241" s="92"/>
      <c r="D241" s="22"/>
      <c r="E241" s="22"/>
      <c r="F241" s="95"/>
      <c r="H241" s="93"/>
      <c r="I241" s="93"/>
      <c r="J241" s="93"/>
      <c r="K241" s="93"/>
    </row>
    <row r="242" spans="1:11" x14ac:dyDescent="0.25">
      <c r="A242" s="89"/>
      <c r="B242" s="14"/>
      <c r="C242" s="92"/>
      <c r="D242" s="22"/>
      <c r="E242" s="22"/>
      <c r="F242" s="95"/>
      <c r="H242" s="93"/>
      <c r="I242" s="93"/>
      <c r="J242" s="93"/>
      <c r="K242" s="93"/>
    </row>
    <row r="243" spans="1:11" x14ac:dyDescent="0.25">
      <c r="A243" s="89"/>
      <c r="B243" s="14"/>
      <c r="C243" s="92"/>
      <c r="D243" s="22"/>
      <c r="E243" s="22"/>
      <c r="F243" s="95"/>
      <c r="H243" s="93"/>
      <c r="I243" s="93"/>
      <c r="J243" s="93"/>
      <c r="K243" s="93"/>
    </row>
    <row r="244" spans="1:11" x14ac:dyDescent="0.25">
      <c r="A244" s="89"/>
      <c r="B244" s="14"/>
      <c r="C244" s="92"/>
      <c r="D244" s="22"/>
      <c r="E244" s="22"/>
      <c r="F244" s="95"/>
      <c r="H244" s="93"/>
      <c r="I244" s="93"/>
      <c r="J244" s="93"/>
      <c r="K244" s="93"/>
    </row>
    <row r="245" spans="1:11" x14ac:dyDescent="0.25">
      <c r="A245" s="89"/>
      <c r="B245" s="14"/>
      <c r="C245" s="92"/>
      <c r="D245" s="22"/>
      <c r="E245" s="22"/>
      <c r="F245" s="95"/>
      <c r="H245" s="93"/>
      <c r="I245" s="93"/>
      <c r="J245" s="93"/>
      <c r="K245" s="93"/>
    </row>
    <row r="246" spans="1:11" x14ac:dyDescent="0.25">
      <c r="A246" s="89"/>
      <c r="B246" s="14"/>
      <c r="C246" s="92"/>
      <c r="D246" s="22"/>
      <c r="E246" s="22"/>
      <c r="F246" s="95"/>
      <c r="H246" s="93"/>
      <c r="I246" s="93"/>
      <c r="J246" s="93"/>
      <c r="K246" s="93"/>
    </row>
    <row r="247" spans="1:11" x14ac:dyDescent="0.25">
      <c r="A247" s="89"/>
      <c r="B247" s="14"/>
      <c r="C247" s="92"/>
      <c r="D247" s="22"/>
      <c r="E247" s="22"/>
      <c r="F247" s="95"/>
      <c r="H247" s="93"/>
      <c r="I247" s="93"/>
      <c r="J247" s="93"/>
      <c r="K247" s="93"/>
    </row>
    <row r="248" spans="1:11" x14ac:dyDescent="0.25">
      <c r="A248" s="89"/>
      <c r="B248" s="14"/>
      <c r="C248" s="92"/>
      <c r="D248" s="22"/>
      <c r="E248" s="22"/>
      <c r="F248" s="95"/>
      <c r="H248" s="93"/>
      <c r="I248" s="93"/>
      <c r="J248" s="93"/>
      <c r="K248" s="93"/>
    </row>
    <row r="249" spans="1:11" x14ac:dyDescent="0.25">
      <c r="A249" s="89"/>
      <c r="B249" s="14"/>
      <c r="C249" s="92"/>
      <c r="D249" s="22"/>
      <c r="E249" s="22"/>
      <c r="F249" s="95"/>
      <c r="H249" s="93"/>
      <c r="I249" s="93"/>
      <c r="J249" s="93"/>
      <c r="K249" s="93"/>
    </row>
    <row r="250" spans="1:11" x14ac:dyDescent="0.25">
      <c r="A250" s="89"/>
      <c r="B250" s="16"/>
      <c r="C250" s="92"/>
      <c r="D250" s="22"/>
      <c r="E250" s="22"/>
      <c r="F250" s="95"/>
      <c r="H250" s="93"/>
      <c r="I250" s="93"/>
      <c r="J250" s="93"/>
      <c r="K250" s="93"/>
    </row>
    <row r="251" spans="1:11" x14ac:dyDescent="0.25">
      <c r="A251" s="89"/>
      <c r="B251" s="16"/>
      <c r="C251" s="92"/>
      <c r="D251" s="22"/>
      <c r="E251" s="22"/>
      <c r="F251" s="95"/>
      <c r="H251" s="93"/>
      <c r="I251" s="93"/>
      <c r="J251" s="93"/>
      <c r="K251" s="93"/>
    </row>
    <row r="252" spans="1:11" x14ac:dyDescent="0.25">
      <c r="A252" s="89"/>
      <c r="B252" s="14"/>
      <c r="C252" s="92"/>
      <c r="D252" s="22"/>
      <c r="E252" s="22"/>
      <c r="F252" s="95"/>
      <c r="H252" s="93"/>
      <c r="I252" s="93"/>
      <c r="J252" s="93"/>
      <c r="K252" s="93"/>
    </row>
    <row r="253" spans="1:11" x14ac:dyDescent="0.25">
      <c r="A253" s="89"/>
      <c r="B253" s="14"/>
      <c r="C253" s="92"/>
      <c r="D253" s="22"/>
      <c r="E253" s="22"/>
      <c r="F253" s="95"/>
      <c r="H253" s="93"/>
      <c r="I253" s="93"/>
      <c r="J253" s="93"/>
      <c r="K253" s="93"/>
    </row>
    <row r="254" spans="1:11" x14ac:dyDescent="0.25">
      <c r="A254" s="89"/>
      <c r="B254" s="16"/>
      <c r="C254" s="92"/>
      <c r="D254" s="22"/>
      <c r="E254" s="22"/>
      <c r="F254" s="95"/>
      <c r="H254" s="93"/>
      <c r="I254" s="93"/>
      <c r="J254" s="93"/>
      <c r="K254" s="93"/>
    </row>
    <row r="255" spans="1:11" x14ac:dyDescent="0.25">
      <c r="A255" s="89"/>
      <c r="B255" s="14"/>
      <c r="C255" s="92"/>
      <c r="D255" s="22"/>
      <c r="E255" s="22"/>
      <c r="F255" s="95"/>
      <c r="H255" s="93"/>
      <c r="I255" s="93"/>
      <c r="J255" s="93"/>
      <c r="K255" s="93"/>
    </row>
    <row r="256" spans="1:11" x14ac:dyDescent="0.25">
      <c r="A256" s="89"/>
      <c r="B256" s="16"/>
      <c r="C256" s="92"/>
      <c r="D256" s="22"/>
      <c r="E256" s="22"/>
      <c r="F256" s="95"/>
      <c r="H256" s="93"/>
      <c r="I256" s="93"/>
      <c r="J256" s="93"/>
      <c r="K256" s="93"/>
    </row>
    <row r="257" spans="1:11" x14ac:dyDescent="0.25">
      <c r="A257" s="89"/>
      <c r="B257" s="14"/>
      <c r="C257" s="92"/>
      <c r="D257" s="22"/>
      <c r="E257" s="22"/>
      <c r="F257" s="95"/>
      <c r="H257" s="93"/>
      <c r="I257" s="93"/>
      <c r="J257" s="93"/>
      <c r="K257" s="93"/>
    </row>
    <row r="258" spans="1:11" x14ac:dyDescent="0.25">
      <c r="A258" s="89"/>
      <c r="B258" s="14"/>
      <c r="C258" s="92"/>
      <c r="D258" s="22"/>
      <c r="E258" s="22"/>
      <c r="F258" s="95"/>
      <c r="H258" s="93"/>
      <c r="I258" s="93"/>
      <c r="J258" s="93"/>
      <c r="K258" s="93"/>
    </row>
    <row r="259" spans="1:11" x14ac:dyDescent="0.25">
      <c r="A259" s="89"/>
      <c r="B259" s="14"/>
      <c r="C259" s="92"/>
      <c r="D259" s="22"/>
      <c r="E259" s="22"/>
      <c r="F259" s="95"/>
      <c r="H259" s="93"/>
      <c r="I259" s="93"/>
      <c r="J259" s="93"/>
      <c r="K259" s="93"/>
    </row>
    <row r="260" spans="1:11" x14ac:dyDescent="0.25">
      <c r="A260" s="89"/>
      <c r="B260" s="16"/>
      <c r="C260" s="92"/>
      <c r="D260" s="22"/>
      <c r="E260" s="22"/>
      <c r="F260" s="95"/>
      <c r="H260" s="93"/>
      <c r="I260" s="93"/>
      <c r="J260" s="93"/>
      <c r="K260" s="93"/>
    </row>
    <row r="261" spans="1:11" x14ac:dyDescent="0.25">
      <c r="A261" s="89"/>
      <c r="B261" s="14"/>
      <c r="C261" s="92"/>
      <c r="D261" s="22"/>
      <c r="E261" s="22"/>
      <c r="F261" s="95"/>
      <c r="H261" s="93"/>
      <c r="I261" s="93"/>
      <c r="J261" s="93"/>
      <c r="K261" s="93"/>
    </row>
    <row r="262" spans="1:11" x14ac:dyDescent="0.25">
      <c r="A262" s="89"/>
      <c r="B262" s="16"/>
      <c r="C262" s="92"/>
      <c r="D262" s="22"/>
      <c r="E262" s="22"/>
      <c r="F262" s="95"/>
      <c r="H262" s="93"/>
      <c r="I262" s="93"/>
      <c r="J262" s="93"/>
      <c r="K262" s="93"/>
    </row>
    <row r="263" spans="1:11" x14ac:dyDescent="0.25">
      <c r="A263" s="89"/>
      <c r="B263" s="14"/>
      <c r="C263" s="92"/>
      <c r="D263" s="22"/>
      <c r="E263" s="22"/>
      <c r="F263" s="95"/>
      <c r="H263" s="93"/>
      <c r="I263" s="93"/>
      <c r="J263" s="93"/>
      <c r="K263" s="93"/>
    </row>
    <row r="264" spans="1:11" x14ac:dyDescent="0.25">
      <c r="A264" s="89"/>
      <c r="B264" s="14"/>
      <c r="C264" s="92"/>
      <c r="D264" s="22"/>
      <c r="E264" s="22"/>
      <c r="F264" s="95"/>
      <c r="H264" s="93"/>
      <c r="I264" s="93"/>
      <c r="J264" s="93"/>
      <c r="K264" s="93"/>
    </row>
    <row r="265" spans="1:11" x14ac:dyDescent="0.25">
      <c r="A265" s="89"/>
      <c r="B265" s="14"/>
      <c r="C265" s="92"/>
      <c r="D265" s="22"/>
      <c r="E265" s="22"/>
      <c r="F265" s="95"/>
      <c r="H265" s="93"/>
      <c r="I265" s="93"/>
      <c r="J265" s="93"/>
      <c r="K265" s="93"/>
    </row>
    <row r="266" spans="1:11" x14ac:dyDescent="0.25">
      <c r="A266" s="89"/>
      <c r="B266" s="16"/>
      <c r="C266" s="92"/>
      <c r="D266" s="22"/>
      <c r="E266" s="22"/>
      <c r="F266" s="95"/>
      <c r="H266" s="93"/>
      <c r="I266" s="93"/>
      <c r="J266" s="93"/>
      <c r="K266" s="93"/>
    </row>
    <row r="267" spans="1:11" x14ac:dyDescent="0.25">
      <c r="A267" s="89"/>
      <c r="B267" s="16"/>
      <c r="C267" s="92"/>
      <c r="D267" s="22"/>
      <c r="E267" s="22"/>
      <c r="F267" s="95"/>
      <c r="H267" s="93"/>
      <c r="I267" s="93"/>
      <c r="J267" s="93"/>
      <c r="K267" s="93"/>
    </row>
    <row r="268" spans="1:11" x14ac:dyDescent="0.25">
      <c r="A268" s="89"/>
      <c r="B268" s="14"/>
      <c r="C268" s="92"/>
      <c r="D268" s="22"/>
      <c r="E268" s="22"/>
      <c r="F268" s="95"/>
      <c r="H268" s="93"/>
      <c r="I268" s="93"/>
      <c r="J268" s="93"/>
      <c r="K268" s="93"/>
    </row>
    <row r="269" spans="1:11" x14ac:dyDescent="0.25">
      <c r="A269" s="89"/>
      <c r="B269" s="14"/>
      <c r="C269" s="92"/>
      <c r="D269" s="22"/>
      <c r="E269" s="22"/>
      <c r="F269" s="95"/>
      <c r="H269" s="93"/>
      <c r="I269" s="93"/>
      <c r="J269" s="93"/>
      <c r="K269" s="93"/>
    </row>
    <row r="270" spans="1:11" x14ac:dyDescent="0.25">
      <c r="A270" s="89"/>
      <c r="B270" s="14"/>
      <c r="C270" s="92"/>
      <c r="D270" s="22"/>
      <c r="E270" s="22"/>
      <c r="F270" s="95"/>
      <c r="H270" s="93"/>
      <c r="I270" s="93"/>
      <c r="J270" s="93"/>
      <c r="K270" s="93"/>
    </row>
    <row r="271" spans="1:11" x14ac:dyDescent="0.25">
      <c r="A271" s="89"/>
      <c r="B271" s="14"/>
      <c r="C271" s="92"/>
      <c r="D271" s="22"/>
      <c r="E271" s="22"/>
      <c r="F271" s="95"/>
      <c r="H271" s="93"/>
      <c r="I271" s="93"/>
      <c r="J271" s="93"/>
      <c r="K271" s="93"/>
    </row>
    <row r="272" spans="1:11" x14ac:dyDescent="0.25">
      <c r="A272" s="89"/>
      <c r="B272" s="14"/>
      <c r="C272" s="92"/>
      <c r="D272" s="22"/>
      <c r="E272" s="22"/>
      <c r="F272" s="95"/>
      <c r="H272" s="93"/>
      <c r="I272" s="93"/>
      <c r="J272" s="93"/>
      <c r="K272" s="93"/>
    </row>
    <row r="273" spans="1:11" x14ac:dyDescent="0.25">
      <c r="A273" s="89"/>
      <c r="B273" s="14"/>
      <c r="C273" s="92"/>
      <c r="D273" s="22"/>
      <c r="E273" s="22"/>
      <c r="F273" s="94"/>
      <c r="G273" s="94"/>
      <c r="H273" s="93"/>
      <c r="I273" s="93"/>
      <c r="J273" s="93"/>
      <c r="K273" s="93"/>
    </row>
    <row r="274" spans="1:11" x14ac:dyDescent="0.25">
      <c r="A274" s="89"/>
      <c r="B274" s="14"/>
      <c r="C274" s="92"/>
      <c r="D274" s="22"/>
      <c r="E274" s="22"/>
      <c r="F274" s="94"/>
      <c r="G274" s="94"/>
      <c r="H274" s="93"/>
      <c r="I274" s="93"/>
      <c r="J274" s="93"/>
      <c r="K274" s="93"/>
    </row>
    <row r="275" spans="1:11" x14ac:dyDescent="0.25">
      <c r="A275" s="89"/>
      <c r="B275" s="16"/>
      <c r="C275" s="92"/>
      <c r="D275" s="22"/>
      <c r="E275" s="22"/>
      <c r="F275" s="94"/>
      <c r="G275" s="94"/>
      <c r="H275" s="93"/>
      <c r="I275" s="93"/>
      <c r="J275" s="93"/>
      <c r="K275" s="93"/>
    </row>
    <row r="276" spans="1:11" x14ac:dyDescent="0.25">
      <c r="A276" s="89"/>
      <c r="B276" s="14"/>
      <c r="C276" s="92"/>
      <c r="D276" s="22"/>
      <c r="E276" s="22"/>
      <c r="F276" s="94"/>
      <c r="G276" s="94"/>
      <c r="H276" s="93"/>
      <c r="I276" s="93"/>
      <c r="J276" s="93"/>
      <c r="K276" s="93"/>
    </row>
    <row r="277" spans="1:11" x14ac:dyDescent="0.25">
      <c r="A277" s="89"/>
      <c r="B277" s="16"/>
      <c r="C277" s="92"/>
      <c r="D277" s="22"/>
      <c r="E277" s="22"/>
      <c r="F277" s="94"/>
      <c r="G277" s="94"/>
      <c r="H277" s="93"/>
      <c r="I277" s="93"/>
      <c r="J277" s="93"/>
      <c r="K277" s="93"/>
    </row>
    <row r="278" spans="1:11" x14ac:dyDescent="0.25">
      <c r="A278" s="89"/>
      <c r="B278" s="14"/>
      <c r="C278" s="92"/>
      <c r="D278" s="22"/>
      <c r="E278" s="22"/>
      <c r="F278" s="94"/>
      <c r="G278" s="94"/>
      <c r="H278" s="93"/>
      <c r="I278" s="93"/>
      <c r="J278" s="93"/>
      <c r="K278" s="93"/>
    </row>
    <row r="279" spans="1:11" x14ac:dyDescent="0.25">
      <c r="A279" s="89"/>
      <c r="B279" s="14"/>
      <c r="C279" s="92"/>
      <c r="D279" s="22"/>
      <c r="E279" s="22"/>
      <c r="F279" s="94"/>
      <c r="G279" s="94"/>
      <c r="H279" s="93"/>
      <c r="I279" s="93"/>
      <c r="J279" s="93"/>
      <c r="K279" s="93"/>
    </row>
    <row r="280" spans="1:11" x14ac:dyDescent="0.25">
      <c r="A280" s="89"/>
      <c r="B280" s="16"/>
      <c r="C280" s="92"/>
      <c r="D280" s="22"/>
      <c r="E280" s="22"/>
      <c r="F280" s="94"/>
      <c r="G280" s="94"/>
      <c r="H280" s="93"/>
      <c r="I280" s="93"/>
      <c r="J280" s="93"/>
      <c r="K280" s="93"/>
    </row>
    <row r="281" spans="1:11" x14ac:dyDescent="0.25">
      <c r="A281" s="89"/>
      <c r="B281" s="14"/>
      <c r="C281" s="92"/>
      <c r="D281" s="22"/>
      <c r="E281" s="22"/>
      <c r="F281" s="94"/>
      <c r="G281" s="94"/>
      <c r="H281" s="93"/>
      <c r="I281" s="93"/>
      <c r="J281" s="93"/>
      <c r="K281" s="93"/>
    </row>
    <row r="282" spans="1:11" x14ac:dyDescent="0.25">
      <c r="A282" s="89"/>
      <c r="B282" s="16"/>
      <c r="C282" s="92"/>
      <c r="D282" s="22"/>
      <c r="E282" s="22"/>
      <c r="F282" s="94"/>
      <c r="G282" s="94"/>
      <c r="H282" s="93"/>
      <c r="I282" s="93"/>
      <c r="J282" s="93"/>
      <c r="K282" s="93"/>
    </row>
    <row r="283" spans="1:11" x14ac:dyDescent="0.25">
      <c r="A283" s="89"/>
      <c r="B283" s="14"/>
      <c r="C283" s="92"/>
      <c r="D283" s="22"/>
      <c r="E283" s="22"/>
      <c r="F283" s="94"/>
      <c r="G283" s="94"/>
      <c r="H283" s="93"/>
      <c r="I283" s="93"/>
      <c r="J283" s="93"/>
      <c r="K283" s="93"/>
    </row>
    <row r="284" spans="1:11" x14ac:dyDescent="0.25">
      <c r="A284" s="89"/>
      <c r="B284" s="16"/>
      <c r="C284" s="92"/>
      <c r="D284" s="22"/>
      <c r="E284" s="22"/>
      <c r="F284" s="94"/>
      <c r="G284" s="94"/>
      <c r="H284" s="93"/>
      <c r="I284" s="93"/>
      <c r="J284" s="93"/>
      <c r="K284" s="93"/>
    </row>
    <row r="285" spans="1:11" x14ac:dyDescent="0.25">
      <c r="A285" s="89"/>
      <c r="B285" s="14"/>
      <c r="C285" s="92"/>
      <c r="D285" s="22"/>
      <c r="E285" s="22"/>
      <c r="F285" s="94"/>
      <c r="G285" s="94"/>
      <c r="H285" s="93"/>
      <c r="I285" s="93"/>
      <c r="J285" s="93"/>
      <c r="K285" s="93"/>
    </row>
    <row r="286" spans="1:11" x14ac:dyDescent="0.25">
      <c r="A286" s="89"/>
      <c r="B286" s="14"/>
      <c r="C286" s="92"/>
      <c r="D286" s="22"/>
      <c r="E286" s="22"/>
      <c r="F286" s="94"/>
      <c r="G286" s="94"/>
      <c r="H286" s="93"/>
      <c r="I286" s="93"/>
      <c r="J286" s="93"/>
      <c r="K286" s="93"/>
    </row>
    <row r="287" spans="1:11" x14ac:dyDescent="0.25">
      <c r="A287" s="89"/>
      <c r="B287" s="14"/>
      <c r="C287" s="92"/>
      <c r="D287" s="22"/>
      <c r="E287" s="22"/>
      <c r="F287" s="94"/>
      <c r="G287" s="94"/>
      <c r="H287" s="93"/>
      <c r="I287" s="93"/>
      <c r="J287" s="93"/>
      <c r="K287" s="93"/>
    </row>
    <row r="288" spans="1:11" x14ac:dyDescent="0.25">
      <c r="A288" s="89"/>
      <c r="B288" s="14"/>
      <c r="C288" s="92"/>
      <c r="D288" s="22"/>
      <c r="E288" s="22"/>
      <c r="F288" s="94"/>
      <c r="G288" s="94"/>
      <c r="H288" s="93"/>
      <c r="I288" s="93"/>
      <c r="J288" s="93"/>
      <c r="K288" s="93"/>
    </row>
    <row r="289" spans="1:11" x14ac:dyDescent="0.25">
      <c r="A289" s="89"/>
      <c r="B289" s="14"/>
      <c r="C289" s="92"/>
      <c r="D289" s="22"/>
      <c r="E289" s="22"/>
      <c r="F289" s="94"/>
      <c r="G289" s="94"/>
      <c r="H289" s="93"/>
      <c r="I289" s="93"/>
      <c r="J289" s="93"/>
      <c r="K289" s="93"/>
    </row>
    <row r="290" spans="1:11" x14ac:dyDescent="0.25">
      <c r="A290" s="89"/>
      <c r="B290" s="14"/>
      <c r="C290" s="92"/>
      <c r="D290" s="22"/>
      <c r="E290" s="22"/>
      <c r="F290" s="94"/>
      <c r="G290" s="94"/>
      <c r="H290" s="93"/>
      <c r="I290" s="93"/>
      <c r="J290" s="93"/>
      <c r="K290" s="93"/>
    </row>
    <row r="291" spans="1:11" x14ac:dyDescent="0.25">
      <c r="A291" s="89"/>
      <c r="B291" s="14"/>
      <c r="C291" s="92"/>
      <c r="D291" s="22"/>
      <c r="E291" s="22"/>
      <c r="F291" s="94"/>
      <c r="G291" s="94"/>
      <c r="H291" s="93"/>
      <c r="I291" s="93"/>
      <c r="J291" s="93"/>
      <c r="K291" s="93"/>
    </row>
    <row r="292" spans="1:11" x14ac:dyDescent="0.25">
      <c r="A292" s="89"/>
      <c r="B292" s="14"/>
      <c r="C292" s="92"/>
      <c r="D292" s="22"/>
      <c r="E292" s="22"/>
      <c r="F292" s="94"/>
      <c r="G292" s="94"/>
      <c r="H292" s="93"/>
      <c r="I292" s="93"/>
      <c r="J292" s="93"/>
      <c r="K292" s="93"/>
    </row>
    <row r="293" spans="1:11" x14ac:dyDescent="0.25">
      <c r="A293" s="89"/>
      <c r="B293" s="14"/>
      <c r="C293" s="92"/>
      <c r="D293" s="22"/>
      <c r="E293" s="22"/>
      <c r="F293" s="94"/>
      <c r="G293" s="94"/>
      <c r="H293" s="93"/>
      <c r="I293" s="93"/>
      <c r="J293" s="93"/>
      <c r="K293" s="93"/>
    </row>
    <row r="294" spans="1:11" x14ac:dyDescent="0.25">
      <c r="A294" s="89"/>
      <c r="B294" s="16"/>
      <c r="C294" s="92"/>
      <c r="D294" s="22"/>
      <c r="E294" s="22"/>
      <c r="F294" s="94"/>
      <c r="G294" s="94"/>
      <c r="H294" s="93"/>
      <c r="I294" s="93"/>
      <c r="J294" s="93"/>
      <c r="K294" s="93"/>
    </row>
    <row r="295" spans="1:11" x14ac:dyDescent="0.25">
      <c r="A295" s="89"/>
      <c r="B295" s="14"/>
      <c r="C295" s="92"/>
      <c r="D295" s="22"/>
      <c r="E295" s="22"/>
      <c r="F295" s="94"/>
      <c r="G295" s="94"/>
      <c r="H295" s="93"/>
      <c r="I295" s="93"/>
      <c r="J295" s="93"/>
      <c r="K295" s="93"/>
    </row>
    <row r="296" spans="1:11" x14ac:dyDescent="0.25">
      <c r="A296" s="89"/>
      <c r="B296" s="14"/>
      <c r="C296" s="92"/>
      <c r="D296" s="22"/>
      <c r="E296" s="22"/>
      <c r="F296" s="94"/>
      <c r="G296" s="94"/>
      <c r="H296" s="93"/>
      <c r="I296" s="93"/>
      <c r="J296" s="93"/>
      <c r="K296" s="93"/>
    </row>
    <row r="297" spans="1:11" x14ac:dyDescent="0.25">
      <c r="A297" s="89"/>
      <c r="B297" s="14"/>
      <c r="C297" s="92"/>
      <c r="D297" s="22"/>
      <c r="E297" s="22"/>
      <c r="F297" s="94"/>
      <c r="G297" s="94"/>
      <c r="H297" s="93"/>
      <c r="I297" s="93"/>
      <c r="J297" s="93"/>
      <c r="K297" s="93"/>
    </row>
    <row r="298" spans="1:11" x14ac:dyDescent="0.25">
      <c r="A298" s="89"/>
      <c r="B298" s="16"/>
      <c r="C298" s="92"/>
      <c r="D298" s="22"/>
      <c r="E298" s="22"/>
      <c r="F298" s="94"/>
      <c r="G298" s="94"/>
      <c r="H298" s="93"/>
      <c r="I298" s="93"/>
      <c r="J298" s="93"/>
      <c r="K298" s="93"/>
    </row>
    <row r="299" spans="1:11" x14ac:dyDescent="0.25">
      <c r="A299" s="89"/>
      <c r="B299" s="14"/>
      <c r="C299" s="92"/>
      <c r="D299" s="22"/>
      <c r="E299" s="22"/>
      <c r="F299" s="94"/>
      <c r="G299" s="94"/>
      <c r="H299" s="93"/>
      <c r="I299" s="93"/>
      <c r="J299" s="93"/>
      <c r="K299" s="93"/>
    </row>
    <row r="300" spans="1:11" x14ac:dyDescent="0.25">
      <c r="A300" s="89"/>
      <c r="B300" s="14"/>
      <c r="C300" s="92"/>
      <c r="D300" s="22"/>
      <c r="E300" s="22"/>
      <c r="F300" s="94"/>
      <c r="G300" s="94"/>
      <c r="H300" s="93"/>
      <c r="I300" s="93"/>
      <c r="J300" s="93"/>
      <c r="K300" s="93"/>
    </row>
    <row r="301" spans="1:11" x14ac:dyDescent="0.25">
      <c r="A301" s="89"/>
      <c r="B301" s="14"/>
      <c r="C301" s="92"/>
      <c r="D301" s="22"/>
      <c r="E301" s="22"/>
      <c r="F301" s="94"/>
      <c r="G301" s="94"/>
      <c r="H301" s="93"/>
      <c r="I301" s="93"/>
      <c r="J301" s="93"/>
      <c r="K301" s="93"/>
    </row>
    <row r="302" spans="1:11" x14ac:dyDescent="0.25">
      <c r="A302" s="89"/>
      <c r="B302" s="14"/>
      <c r="C302" s="92"/>
      <c r="D302" s="22"/>
      <c r="E302" s="22"/>
      <c r="F302" s="94"/>
      <c r="G302" s="94"/>
      <c r="H302" s="93"/>
      <c r="I302" s="93"/>
      <c r="J302" s="93"/>
      <c r="K302" s="93"/>
    </row>
    <row r="303" spans="1:11" x14ac:dyDescent="0.25">
      <c r="A303" s="89"/>
      <c r="B303" s="16"/>
      <c r="C303" s="92"/>
      <c r="D303" s="22"/>
      <c r="E303" s="22"/>
      <c r="F303" s="94"/>
      <c r="G303" s="94"/>
      <c r="H303" s="93"/>
      <c r="I303" s="93"/>
      <c r="J303" s="93"/>
      <c r="K303" s="93"/>
    </row>
    <row r="304" spans="1:11" x14ac:dyDescent="0.25">
      <c r="A304" s="89"/>
      <c r="B304" s="16"/>
      <c r="C304" s="92"/>
      <c r="D304" s="22"/>
      <c r="E304" s="22"/>
      <c r="F304" s="94"/>
      <c r="G304" s="94"/>
      <c r="H304" s="93"/>
      <c r="I304" s="93"/>
      <c r="J304" s="93"/>
      <c r="K304" s="93"/>
    </row>
    <row r="305" spans="1:11" x14ac:dyDescent="0.25">
      <c r="A305" s="89"/>
      <c r="B305" s="16"/>
      <c r="C305" s="92"/>
      <c r="D305" s="22"/>
      <c r="E305" s="22"/>
      <c r="F305" s="94"/>
      <c r="G305" s="94"/>
      <c r="H305" s="93"/>
      <c r="I305" s="93"/>
      <c r="J305" s="93"/>
      <c r="K305" s="93"/>
    </row>
    <row r="306" spans="1:11" x14ac:dyDescent="0.25">
      <c r="A306" s="89"/>
      <c r="B306" s="16"/>
      <c r="C306" s="92"/>
      <c r="D306" s="22"/>
      <c r="E306" s="22"/>
      <c r="F306" s="94"/>
      <c r="G306" s="94"/>
      <c r="H306" s="93"/>
      <c r="I306" s="93"/>
      <c r="J306" s="93"/>
      <c r="K306" s="93"/>
    </row>
    <row r="307" spans="1:11" x14ac:dyDescent="0.25">
      <c r="A307" s="89"/>
      <c r="B307" s="16"/>
      <c r="C307" s="92"/>
      <c r="D307" s="22"/>
      <c r="E307" s="22"/>
      <c r="F307" s="94"/>
      <c r="G307" s="94"/>
      <c r="H307" s="93"/>
      <c r="I307" s="93"/>
      <c r="J307" s="93"/>
      <c r="K307" s="93"/>
    </row>
    <row r="308" spans="1:11" x14ac:dyDescent="0.25">
      <c r="A308" s="89"/>
      <c r="B308" s="16"/>
      <c r="C308" s="92"/>
      <c r="D308" s="22"/>
      <c r="E308" s="22"/>
      <c r="F308" s="94"/>
      <c r="G308" s="94"/>
      <c r="H308" s="93"/>
      <c r="I308" s="93"/>
      <c r="J308" s="93"/>
      <c r="K308" s="93"/>
    </row>
    <row r="309" spans="1:11" x14ac:dyDescent="0.25">
      <c r="A309" s="89"/>
      <c r="B309" s="16"/>
      <c r="C309" s="92"/>
      <c r="D309" s="22"/>
      <c r="E309" s="22"/>
      <c r="F309" s="94"/>
      <c r="G309" s="94"/>
      <c r="H309" s="93"/>
      <c r="I309" s="93"/>
      <c r="J309" s="93"/>
      <c r="K309" s="93"/>
    </row>
    <row r="310" spans="1:11" x14ac:dyDescent="0.25">
      <c r="A310" s="89"/>
      <c r="B310" s="16"/>
      <c r="C310" s="92"/>
      <c r="D310" s="22"/>
      <c r="E310" s="22"/>
      <c r="F310" s="94"/>
      <c r="G310" s="94"/>
      <c r="H310" s="93"/>
      <c r="I310" s="93"/>
      <c r="J310" s="93"/>
      <c r="K310" s="93"/>
    </row>
    <row r="311" spans="1:11" x14ac:dyDescent="0.25">
      <c r="A311" s="89"/>
      <c r="B311" s="16"/>
      <c r="C311" s="92"/>
      <c r="D311" s="22"/>
      <c r="E311" s="22"/>
      <c r="F311" s="94"/>
      <c r="G311" s="94"/>
      <c r="H311" s="93"/>
      <c r="I311" s="93"/>
      <c r="J311" s="93"/>
      <c r="K311" s="93"/>
    </row>
    <row r="312" spans="1:11" x14ac:dyDescent="0.25">
      <c r="A312" s="89"/>
      <c r="B312" s="16"/>
      <c r="C312" s="92"/>
      <c r="D312" s="22"/>
      <c r="E312" s="22"/>
      <c r="F312" s="94"/>
      <c r="G312" s="94"/>
      <c r="H312" s="93"/>
      <c r="I312" s="93"/>
      <c r="J312" s="93"/>
      <c r="K312" s="93"/>
    </row>
    <row r="313" spans="1:11" x14ac:dyDescent="0.25">
      <c r="A313" s="89"/>
      <c r="B313" s="16"/>
      <c r="C313" s="92"/>
      <c r="D313" s="22"/>
      <c r="E313" s="22"/>
      <c r="F313" s="94"/>
      <c r="G313" s="94"/>
      <c r="H313" s="93"/>
      <c r="I313" s="93"/>
      <c r="J313" s="93"/>
      <c r="K313" s="93"/>
    </row>
    <row r="314" spans="1:11" x14ac:dyDescent="0.25">
      <c r="A314" s="89"/>
      <c r="B314" s="16"/>
      <c r="C314" s="92"/>
      <c r="D314" s="22"/>
      <c r="E314" s="22"/>
      <c r="F314" s="94"/>
      <c r="G314" s="94"/>
      <c r="H314" s="93"/>
      <c r="I314" s="93"/>
      <c r="J314" s="93"/>
      <c r="K314" s="93"/>
    </row>
    <row r="315" spans="1:11" x14ac:dyDescent="0.25">
      <c r="A315" s="89"/>
      <c r="B315" s="16"/>
      <c r="C315" s="92"/>
      <c r="D315" s="22"/>
      <c r="E315" s="22"/>
      <c r="F315" s="94"/>
      <c r="G315" s="94"/>
      <c r="H315" s="93"/>
      <c r="I315" s="93"/>
      <c r="J315" s="93"/>
      <c r="K315" s="93"/>
    </row>
    <row r="316" spans="1:11" x14ac:dyDescent="0.25">
      <c r="A316" s="89"/>
      <c r="B316" s="16"/>
      <c r="C316" s="92"/>
      <c r="D316" s="22"/>
      <c r="E316" s="22"/>
      <c r="F316" s="94"/>
      <c r="G316" s="94"/>
      <c r="H316" s="93"/>
      <c r="I316" s="93"/>
      <c r="J316" s="93"/>
      <c r="K316" s="93"/>
    </row>
    <row r="317" spans="1:11" x14ac:dyDescent="0.25">
      <c r="A317" s="89"/>
      <c r="B317" s="16"/>
      <c r="C317" s="92"/>
      <c r="D317" s="22"/>
      <c r="E317" s="22"/>
      <c r="F317" s="94"/>
      <c r="G317" s="94"/>
      <c r="H317" s="93"/>
      <c r="I317" s="93"/>
      <c r="J317" s="93"/>
      <c r="K317" s="93"/>
    </row>
    <row r="318" spans="1:11" x14ac:dyDescent="0.25">
      <c r="A318" s="89"/>
      <c r="B318" s="16"/>
      <c r="C318" s="92"/>
      <c r="D318" s="22"/>
      <c r="E318" s="22"/>
      <c r="F318" s="94"/>
      <c r="G318" s="94"/>
      <c r="H318" s="93"/>
      <c r="I318" s="93"/>
      <c r="J318" s="93"/>
      <c r="K318" s="93"/>
    </row>
    <row r="319" spans="1:11" x14ac:dyDescent="0.25">
      <c r="A319" s="89"/>
      <c r="B319" s="16"/>
      <c r="C319" s="92"/>
      <c r="D319" s="22"/>
      <c r="E319" s="22"/>
      <c r="F319" s="94"/>
      <c r="G319" s="94"/>
      <c r="H319" s="93"/>
      <c r="I319" s="93"/>
      <c r="J319" s="93"/>
      <c r="K319" s="93"/>
    </row>
    <row r="320" spans="1:11" x14ac:dyDescent="0.25">
      <c r="A320" s="89"/>
      <c r="B320" s="16"/>
      <c r="C320" s="92"/>
      <c r="D320" s="22"/>
      <c r="E320" s="22"/>
      <c r="F320" s="94"/>
      <c r="G320" s="94"/>
      <c r="H320" s="93"/>
      <c r="I320" s="93"/>
      <c r="J320" s="93"/>
      <c r="K320" s="93"/>
    </row>
    <row r="321" spans="1:11" x14ac:dyDescent="0.25">
      <c r="A321" s="89"/>
      <c r="B321" s="16"/>
      <c r="C321" s="92"/>
      <c r="D321" s="22"/>
      <c r="E321" s="22"/>
      <c r="F321" s="94"/>
      <c r="G321" s="94"/>
      <c r="H321" s="93"/>
      <c r="I321" s="93"/>
      <c r="J321" s="93"/>
      <c r="K321" s="93"/>
    </row>
    <row r="322" spans="1:11" x14ac:dyDescent="0.25">
      <c r="A322" s="89"/>
      <c r="B322" s="16"/>
      <c r="C322" s="92"/>
      <c r="D322" s="22"/>
      <c r="E322" s="22"/>
      <c r="F322" s="94"/>
      <c r="G322" s="94"/>
      <c r="H322" s="96"/>
      <c r="I322" s="94"/>
      <c r="J322" s="94"/>
      <c r="K322" s="94"/>
    </row>
    <row r="323" spans="1:11" x14ac:dyDescent="0.25">
      <c r="A323" s="91"/>
      <c r="B323" s="90"/>
      <c r="C323" s="97"/>
      <c r="D323" s="96"/>
      <c r="E323" s="98"/>
      <c r="F323" s="94"/>
      <c r="G323" s="94"/>
      <c r="H323" s="96"/>
      <c r="I323" s="94"/>
      <c r="J323" s="94"/>
      <c r="K323" s="94"/>
    </row>
    <row r="324" spans="1:11" x14ac:dyDescent="0.25">
      <c r="A324" s="91"/>
      <c r="B324" s="90"/>
      <c r="C324" s="97"/>
      <c r="D324" s="96"/>
      <c r="E324" s="98"/>
      <c r="F324" s="94"/>
      <c r="G324" s="94"/>
      <c r="H324" s="96"/>
      <c r="I324" s="94"/>
      <c r="J324" s="94"/>
      <c r="K324" s="94"/>
    </row>
    <row r="325" spans="1:11" x14ac:dyDescent="0.25">
      <c r="A325" s="91"/>
      <c r="B325" s="90"/>
      <c r="C325" s="97"/>
      <c r="D325" s="96"/>
      <c r="E325" s="98"/>
      <c r="F325" s="94"/>
      <c r="G325" s="94"/>
      <c r="H325" s="96"/>
      <c r="I325" s="94"/>
      <c r="J325" s="94"/>
      <c r="K325" s="94"/>
    </row>
    <row r="326" spans="1:11" x14ac:dyDescent="0.25">
      <c r="A326" s="91"/>
      <c r="B326" s="90"/>
      <c r="C326" s="97"/>
      <c r="D326" s="96"/>
      <c r="E326" s="98"/>
      <c r="F326" s="94"/>
      <c r="G326" s="94"/>
      <c r="H326" s="96"/>
      <c r="I326" s="94"/>
      <c r="J326" s="94"/>
      <c r="K326" s="94"/>
    </row>
    <row r="327" spans="1:11" x14ac:dyDescent="0.25">
      <c r="A327" s="91"/>
      <c r="B327" s="90"/>
      <c r="C327" s="97"/>
      <c r="D327" s="96"/>
      <c r="E327" s="98"/>
      <c r="F327" s="94"/>
      <c r="G327" s="94"/>
      <c r="H327" s="96"/>
      <c r="I327" s="94"/>
      <c r="J327" s="94"/>
      <c r="K327" s="94"/>
    </row>
    <row r="328" spans="1:11" x14ac:dyDescent="0.25">
      <c r="A328" s="91"/>
      <c r="B328" s="90"/>
      <c r="C328" s="97"/>
      <c r="D328" s="96"/>
      <c r="E328" s="98"/>
      <c r="F328" s="94"/>
      <c r="G328" s="94"/>
      <c r="H328" s="96"/>
      <c r="I328" s="94"/>
      <c r="J328" s="94"/>
      <c r="K328" s="94"/>
    </row>
    <row r="329" spans="1:11" x14ac:dyDescent="0.25">
      <c r="A329" s="91"/>
      <c r="B329" s="90"/>
      <c r="C329" s="97"/>
      <c r="D329" s="96"/>
      <c r="E329" s="98"/>
      <c r="F329" s="94"/>
      <c r="G329" s="94"/>
      <c r="H329" s="96"/>
      <c r="I329" s="94"/>
      <c r="J329" s="94"/>
      <c r="K329" s="94"/>
    </row>
    <row r="330" spans="1:11" x14ac:dyDescent="0.25">
      <c r="A330" s="91"/>
      <c r="B330" s="90"/>
      <c r="C330" s="97"/>
      <c r="D330" s="96"/>
      <c r="E330" s="98"/>
      <c r="F330" s="94"/>
      <c r="G330" s="94"/>
      <c r="H330" s="96"/>
      <c r="I330" s="94"/>
      <c r="J330" s="94"/>
      <c r="K330" s="94"/>
    </row>
    <row r="331" spans="1:11" x14ac:dyDescent="0.25">
      <c r="A331" s="91"/>
      <c r="B331" s="90"/>
      <c r="C331" s="97"/>
      <c r="D331" s="96"/>
      <c r="E331" s="98"/>
      <c r="F331" s="94"/>
      <c r="G331" s="94"/>
      <c r="H331" s="96"/>
      <c r="I331" s="94"/>
      <c r="J331" s="94"/>
      <c r="K331" s="94"/>
    </row>
    <row r="332" spans="1:11" x14ac:dyDescent="0.25">
      <c r="A332" s="91"/>
      <c r="B332" s="90"/>
      <c r="C332" s="97"/>
      <c r="D332" s="96"/>
      <c r="E332" s="98"/>
      <c r="F332" s="94"/>
      <c r="G332" s="94"/>
      <c r="H332" s="96"/>
      <c r="I332" s="94"/>
      <c r="J332" s="94"/>
      <c r="K332" s="94"/>
    </row>
    <row r="333" spans="1:11" x14ac:dyDescent="0.25">
      <c r="A333" s="91"/>
      <c r="B333" s="90"/>
      <c r="C333" s="97"/>
      <c r="D333" s="96"/>
      <c r="E333" s="98"/>
      <c r="F333" s="94"/>
      <c r="G333" s="94"/>
      <c r="H333" s="96"/>
      <c r="I333" s="94"/>
      <c r="J333" s="94"/>
      <c r="K333" s="94"/>
    </row>
    <row r="334" spans="1:11" x14ac:dyDescent="0.25">
      <c r="A334" s="91"/>
      <c r="B334" s="90"/>
      <c r="C334" s="97"/>
      <c r="D334" s="96"/>
      <c r="E334" s="98"/>
      <c r="F334" s="94"/>
      <c r="G334" s="94"/>
      <c r="H334" s="96"/>
      <c r="I334" s="94"/>
      <c r="J334" s="94"/>
      <c r="K334" s="94"/>
    </row>
    <row r="335" spans="1:11" x14ac:dyDescent="0.25">
      <c r="A335" s="91"/>
      <c r="B335" s="90"/>
      <c r="C335" s="97"/>
      <c r="D335" s="96"/>
      <c r="E335" s="98"/>
      <c r="F335" s="94"/>
      <c r="G335" s="94"/>
      <c r="H335" s="96"/>
      <c r="I335" s="94"/>
      <c r="J335" s="94"/>
      <c r="K335" s="94"/>
    </row>
    <row r="336" spans="1:11" x14ac:dyDescent="0.25">
      <c r="A336" s="91"/>
      <c r="B336" s="90"/>
      <c r="C336" s="97"/>
      <c r="D336" s="96"/>
      <c r="E336" s="98"/>
      <c r="F336" s="94"/>
      <c r="G336" s="94"/>
      <c r="H336" s="96"/>
      <c r="I336" s="94"/>
      <c r="J336" s="94"/>
      <c r="K336" s="94"/>
    </row>
    <row r="337" spans="1:11" x14ac:dyDescent="0.25">
      <c r="A337" s="91"/>
      <c r="B337" s="90"/>
      <c r="C337" s="97"/>
      <c r="D337" s="96"/>
      <c r="E337" s="98"/>
      <c r="F337" s="94"/>
      <c r="G337" s="94"/>
      <c r="H337" s="96"/>
      <c r="I337" s="94"/>
      <c r="J337" s="94"/>
      <c r="K337" s="94"/>
    </row>
    <row r="338" spans="1:11" x14ac:dyDescent="0.25">
      <c r="A338" s="91"/>
      <c r="B338" s="90"/>
      <c r="C338" s="97"/>
      <c r="D338" s="96"/>
      <c r="E338" s="98"/>
      <c r="F338" s="94"/>
      <c r="G338" s="94"/>
      <c r="H338" s="96"/>
      <c r="I338" s="94"/>
      <c r="J338" s="94"/>
      <c r="K338" s="94"/>
    </row>
    <row r="339" spans="1:11" x14ac:dyDescent="0.25">
      <c r="A339" s="91"/>
      <c r="B339" s="90"/>
      <c r="C339" s="97"/>
      <c r="D339" s="96"/>
      <c r="E339" s="98"/>
      <c r="F339" s="94"/>
      <c r="G339" s="94"/>
      <c r="H339" s="96"/>
      <c r="I339" s="94"/>
      <c r="J339" s="94"/>
      <c r="K339" s="94"/>
    </row>
    <row r="340" spans="1:11" x14ac:dyDescent="0.25">
      <c r="A340" s="91"/>
      <c r="B340" s="90"/>
      <c r="C340" s="97"/>
      <c r="D340" s="96"/>
      <c r="E340" s="98"/>
      <c r="F340" s="94"/>
      <c r="G340" s="94"/>
      <c r="H340" s="96"/>
      <c r="I340" s="94"/>
      <c r="J340" s="94"/>
      <c r="K340" s="94"/>
    </row>
    <row r="341" spans="1:11" x14ac:dyDescent="0.25">
      <c r="A341" s="91"/>
      <c r="B341" s="90"/>
      <c r="C341" s="97"/>
      <c r="D341" s="96"/>
      <c r="E341" s="98"/>
      <c r="F341" s="94"/>
      <c r="G341" s="94"/>
      <c r="H341" s="96"/>
      <c r="I341" s="94"/>
      <c r="J341" s="94"/>
      <c r="K341" s="94"/>
    </row>
    <row r="342" spans="1:11" x14ac:dyDescent="0.25">
      <c r="A342" s="91"/>
      <c r="B342" s="90"/>
      <c r="C342" s="97"/>
      <c r="D342" s="96"/>
      <c r="E342" s="98"/>
      <c r="F342" s="94"/>
      <c r="G342" s="94"/>
      <c r="H342" s="96"/>
      <c r="I342" s="94"/>
      <c r="J342" s="94"/>
      <c r="K342" s="94"/>
    </row>
    <row r="343" spans="1:11" x14ac:dyDescent="0.25">
      <c r="A343" s="91"/>
      <c r="B343" s="90"/>
      <c r="C343" s="97"/>
      <c r="D343" s="96"/>
      <c r="E343" s="98"/>
      <c r="F343" s="94"/>
      <c r="G343" s="94"/>
      <c r="H343" s="96"/>
      <c r="I343" s="94"/>
      <c r="J343" s="94"/>
      <c r="K343" s="94"/>
    </row>
    <row r="344" spans="1:11" x14ac:dyDescent="0.25">
      <c r="A344" s="91"/>
      <c r="B344" s="90"/>
      <c r="C344" s="97"/>
      <c r="D344" s="96"/>
      <c r="E344" s="98"/>
      <c r="F344" s="94"/>
      <c r="G344" s="94"/>
      <c r="H344" s="96"/>
      <c r="I344" s="94"/>
      <c r="J344" s="94"/>
      <c r="K344" s="94"/>
    </row>
    <row r="345" spans="1:11" x14ac:dyDescent="0.25">
      <c r="A345" s="91"/>
      <c r="B345" s="90"/>
      <c r="C345" s="97"/>
      <c r="D345" s="96"/>
      <c r="E345" s="98"/>
      <c r="F345" s="94"/>
      <c r="G345" s="94"/>
      <c r="H345" s="96"/>
      <c r="I345" s="94"/>
      <c r="J345" s="94"/>
      <c r="K345" s="94"/>
    </row>
    <row r="346" spans="1:11" x14ac:dyDescent="0.25">
      <c r="A346" s="91"/>
      <c r="B346" s="90"/>
      <c r="C346" s="97"/>
      <c r="D346" s="96"/>
      <c r="E346" s="98"/>
      <c r="F346" s="94"/>
      <c r="G346" s="94"/>
      <c r="H346" s="96"/>
      <c r="I346" s="94"/>
      <c r="J346" s="94"/>
      <c r="K346" s="94"/>
    </row>
    <row r="347" spans="1:11" x14ac:dyDescent="0.25">
      <c r="A347" s="91"/>
      <c r="B347" s="90"/>
      <c r="C347" s="97"/>
      <c r="D347" s="96"/>
      <c r="E347" s="98"/>
      <c r="F347" s="94"/>
      <c r="G347" s="94"/>
      <c r="H347" s="96"/>
      <c r="I347" s="94"/>
      <c r="J347" s="94"/>
      <c r="K347" s="94"/>
    </row>
    <row r="348" spans="1:11" x14ac:dyDescent="0.25">
      <c r="A348" s="91"/>
      <c r="B348" s="90"/>
      <c r="C348" s="97"/>
      <c r="D348" s="96"/>
      <c r="E348" s="98"/>
      <c r="F348" s="94"/>
      <c r="G348" s="94"/>
      <c r="H348" s="96"/>
      <c r="I348" s="94"/>
      <c r="J348" s="94"/>
      <c r="K348" s="94"/>
    </row>
    <row r="349" spans="1:11" x14ac:dyDescent="0.25">
      <c r="A349" s="91"/>
      <c r="B349" s="90"/>
      <c r="C349" s="97"/>
      <c r="D349" s="96"/>
      <c r="E349" s="98"/>
      <c r="F349" s="94"/>
      <c r="G349" s="94"/>
      <c r="H349" s="96"/>
      <c r="I349" s="94"/>
      <c r="J349" s="94"/>
      <c r="K349" s="94"/>
    </row>
    <row r="350" spans="1:11" x14ac:dyDescent="0.25">
      <c r="A350" s="91"/>
      <c r="B350" s="90"/>
      <c r="C350" s="97"/>
      <c r="D350" s="96"/>
      <c r="E350" s="98"/>
      <c r="F350" s="94"/>
      <c r="G350" s="94"/>
      <c r="H350" s="96"/>
      <c r="I350" s="94"/>
      <c r="J350" s="94"/>
      <c r="K350" s="94"/>
    </row>
    <row r="351" spans="1:11" x14ac:dyDescent="0.25">
      <c r="A351" s="91"/>
      <c r="B351" s="90"/>
      <c r="C351" s="97"/>
      <c r="D351" s="96"/>
      <c r="E351" s="98"/>
      <c r="F351" s="94"/>
      <c r="G351" s="94"/>
      <c r="H351" s="96"/>
      <c r="I351" s="94"/>
      <c r="J351" s="94"/>
      <c r="K351" s="94"/>
    </row>
    <row r="352" spans="1:11" x14ac:dyDescent="0.25">
      <c r="A352" s="91"/>
      <c r="B352" s="90"/>
      <c r="C352" s="97"/>
      <c r="D352" s="96"/>
      <c r="E352" s="98"/>
      <c r="F352" s="94"/>
      <c r="G352" s="94"/>
      <c r="H352" s="96"/>
      <c r="I352" s="94"/>
      <c r="J352" s="94"/>
      <c r="K352" s="94"/>
    </row>
    <row r="353" spans="1:11" x14ac:dyDescent="0.25">
      <c r="A353" s="91"/>
      <c r="B353" s="90"/>
      <c r="C353" s="97"/>
      <c r="D353" s="96"/>
      <c r="E353" s="98"/>
      <c r="F353" s="94"/>
      <c r="G353" s="94"/>
      <c r="H353" s="96"/>
      <c r="I353" s="94"/>
      <c r="J353" s="94"/>
      <c r="K353" s="94"/>
    </row>
    <row r="354" spans="1:11" x14ac:dyDescent="0.25">
      <c r="A354" s="91"/>
      <c r="B354" s="90"/>
      <c r="C354" s="97"/>
      <c r="D354" s="96"/>
      <c r="E354" s="98"/>
      <c r="F354" s="94"/>
      <c r="G354" s="94"/>
      <c r="H354" s="96"/>
      <c r="I354" s="94"/>
      <c r="J354" s="94"/>
      <c r="K354" s="94"/>
    </row>
    <row r="355" spans="1:11" x14ac:dyDescent="0.25">
      <c r="A355" s="91"/>
      <c r="B355" s="90"/>
      <c r="C355" s="97"/>
      <c r="D355" s="96"/>
      <c r="E355" s="98"/>
      <c r="F355" s="94"/>
      <c r="G355" s="94"/>
      <c r="H355" s="96"/>
      <c r="I355" s="94"/>
      <c r="J355" s="94"/>
      <c r="K355" s="94"/>
    </row>
    <row r="356" spans="1:11" x14ac:dyDescent="0.25">
      <c r="A356" s="91"/>
      <c r="B356" s="90"/>
      <c r="C356" s="97"/>
      <c r="D356" s="96"/>
      <c r="E356" s="98"/>
      <c r="F356" s="94"/>
      <c r="G356" s="94"/>
      <c r="H356" s="96"/>
      <c r="I356" s="94"/>
      <c r="J356" s="94"/>
      <c r="K356" s="94"/>
    </row>
    <row r="357" spans="1:11" x14ac:dyDescent="0.25">
      <c r="A357" s="91"/>
      <c r="B357" s="90"/>
      <c r="C357" s="97"/>
      <c r="D357" s="96"/>
      <c r="E357" s="98"/>
      <c r="F357" s="94"/>
      <c r="G357" s="94"/>
      <c r="H357" s="96"/>
      <c r="I357" s="94"/>
      <c r="J357" s="94"/>
      <c r="K357" s="94"/>
    </row>
    <row r="358" spans="1:11" x14ac:dyDescent="0.25">
      <c r="A358" s="91"/>
      <c r="B358" s="90"/>
      <c r="C358" s="97"/>
      <c r="D358" s="96"/>
      <c r="E358" s="98"/>
      <c r="F358" s="94"/>
      <c r="G358" s="94"/>
      <c r="H358" s="96"/>
      <c r="I358" s="94"/>
      <c r="J358" s="94"/>
      <c r="K358" s="94"/>
    </row>
    <row r="359" spans="1:11" x14ac:dyDescent="0.25">
      <c r="A359" s="91"/>
      <c r="B359" s="90"/>
      <c r="C359" s="97"/>
      <c r="D359" s="96"/>
      <c r="E359" s="98"/>
      <c r="F359" s="94"/>
      <c r="G359" s="94"/>
      <c r="H359" s="96"/>
      <c r="I359" s="94"/>
      <c r="J359" s="94"/>
      <c r="K359" s="94"/>
    </row>
    <row r="360" spans="1:11" x14ac:dyDescent="0.25">
      <c r="A360" s="91"/>
      <c r="B360" s="90"/>
      <c r="C360" s="97"/>
      <c r="D360" s="96"/>
      <c r="E360" s="98"/>
      <c r="F360" s="94"/>
      <c r="G360" s="94"/>
      <c r="H360" s="96"/>
      <c r="I360" s="94"/>
      <c r="J360" s="94"/>
      <c r="K360" s="94"/>
    </row>
    <row r="361" spans="1:11" x14ac:dyDescent="0.25">
      <c r="A361" s="91"/>
      <c r="B361" s="90"/>
      <c r="C361" s="97"/>
      <c r="D361" s="96"/>
      <c r="E361" s="98"/>
      <c r="F361" s="94"/>
      <c r="G361" s="94"/>
      <c r="H361" s="96"/>
      <c r="I361" s="94"/>
      <c r="J361" s="94"/>
      <c r="K361" s="94"/>
    </row>
    <row r="362" spans="1:11" x14ac:dyDescent="0.25">
      <c r="A362" s="91"/>
      <c r="B362" s="90"/>
      <c r="C362" s="97"/>
      <c r="D362" s="96"/>
      <c r="E362" s="98"/>
      <c r="F362" s="94"/>
      <c r="G362" s="94"/>
      <c r="H362" s="96"/>
      <c r="I362" s="94"/>
      <c r="J362" s="94"/>
      <c r="K362" s="94"/>
    </row>
    <row r="363" spans="1:11" x14ac:dyDescent="0.25">
      <c r="A363" s="91"/>
      <c r="B363" s="90"/>
      <c r="C363" s="97"/>
      <c r="D363" s="96"/>
      <c r="E363" s="98"/>
      <c r="F363" s="94"/>
      <c r="G363" s="94"/>
      <c r="H363" s="96"/>
      <c r="I363" s="94"/>
      <c r="J363" s="94"/>
      <c r="K363" s="94"/>
    </row>
    <row r="364" spans="1:11" x14ac:dyDescent="0.25">
      <c r="A364" s="91"/>
      <c r="B364" s="90"/>
      <c r="C364" s="97"/>
      <c r="D364" s="96"/>
      <c r="E364" s="98"/>
      <c r="F364" s="94"/>
      <c r="G364" s="94"/>
      <c r="H364" s="96"/>
      <c r="I364" s="94"/>
      <c r="J364" s="94"/>
      <c r="K364" s="94"/>
    </row>
    <row r="365" spans="1:11" x14ac:dyDescent="0.25">
      <c r="A365" s="91"/>
      <c r="B365" s="90"/>
      <c r="C365" s="97"/>
      <c r="D365" s="96"/>
      <c r="E365" s="98"/>
      <c r="F365" s="94"/>
      <c r="G365" s="94"/>
      <c r="H365" s="96"/>
      <c r="I365" s="94"/>
      <c r="J365" s="94"/>
      <c r="K365" s="94"/>
    </row>
    <row r="366" spans="1:11" x14ac:dyDescent="0.25">
      <c r="A366" s="91"/>
      <c r="B366" s="90"/>
      <c r="C366" s="97"/>
      <c r="D366" s="96"/>
      <c r="E366" s="98"/>
      <c r="F366" s="94"/>
      <c r="G366" s="94"/>
      <c r="H366" s="96"/>
      <c r="I366" s="94"/>
      <c r="J366" s="94"/>
      <c r="K366" s="94"/>
    </row>
    <row r="367" spans="1:11" x14ac:dyDescent="0.25">
      <c r="A367" s="91"/>
      <c r="B367" s="90"/>
      <c r="C367" s="97"/>
      <c r="D367" s="96"/>
      <c r="E367" s="98"/>
      <c r="F367" s="94"/>
      <c r="G367" s="94"/>
      <c r="H367" s="96"/>
      <c r="I367" s="94"/>
      <c r="J367" s="94"/>
      <c r="K367" s="94"/>
    </row>
    <row r="368" spans="1:11" x14ac:dyDescent="0.25">
      <c r="A368" s="91"/>
      <c r="B368" s="90"/>
      <c r="C368" s="97"/>
      <c r="D368" s="96"/>
      <c r="E368" s="98"/>
      <c r="F368" s="94"/>
      <c r="G368" s="94"/>
      <c r="H368" s="96"/>
      <c r="I368" s="94"/>
      <c r="J368" s="94"/>
      <c r="K368" s="94"/>
    </row>
    <row r="369" spans="1:11" x14ac:dyDescent="0.25">
      <c r="A369" s="91"/>
      <c r="B369" s="90"/>
      <c r="C369" s="97"/>
      <c r="D369" s="96"/>
      <c r="E369" s="98"/>
      <c r="F369" s="94"/>
      <c r="G369" s="94"/>
      <c r="H369" s="96"/>
      <c r="I369" s="94"/>
      <c r="J369" s="94"/>
      <c r="K369" s="94"/>
    </row>
    <row r="370" spans="1:11" x14ac:dyDescent="0.25">
      <c r="A370" s="91"/>
      <c r="B370" s="90"/>
      <c r="C370" s="97"/>
      <c r="D370" s="96"/>
      <c r="E370" s="98"/>
      <c r="F370" s="94"/>
      <c r="G370" s="94"/>
      <c r="H370" s="96"/>
      <c r="I370" s="94"/>
      <c r="J370" s="94"/>
      <c r="K370" s="94"/>
    </row>
    <row r="371" spans="1:11" x14ac:dyDescent="0.25">
      <c r="A371" s="91"/>
      <c r="B371" s="90"/>
      <c r="C371" s="97"/>
      <c r="D371" s="96"/>
      <c r="E371" s="98"/>
      <c r="F371" s="94"/>
      <c r="G371" s="94"/>
      <c r="H371" s="96"/>
      <c r="I371" s="94"/>
      <c r="J371" s="94"/>
      <c r="K371" s="94"/>
    </row>
    <row r="372" spans="1:11" x14ac:dyDescent="0.25">
      <c r="A372" s="91"/>
      <c r="B372" s="90"/>
      <c r="C372" s="97"/>
      <c r="D372" s="96"/>
      <c r="E372" s="98"/>
      <c r="F372" s="94"/>
      <c r="G372" s="94"/>
      <c r="H372" s="96"/>
      <c r="I372" s="94"/>
      <c r="J372" s="94"/>
      <c r="K372" s="94"/>
    </row>
    <row r="373" spans="1:11" x14ac:dyDescent="0.25">
      <c r="A373" s="91"/>
      <c r="B373" s="90"/>
      <c r="C373" s="97"/>
      <c r="D373" s="96"/>
      <c r="E373" s="98"/>
      <c r="F373" s="94"/>
      <c r="G373" s="94"/>
      <c r="H373" s="96"/>
      <c r="I373" s="94"/>
      <c r="J373" s="94"/>
      <c r="K373" s="94"/>
    </row>
    <row r="374" spans="1:11" x14ac:dyDescent="0.25">
      <c r="A374" s="91"/>
      <c r="B374" s="90"/>
      <c r="C374" s="97"/>
      <c r="D374" s="96"/>
      <c r="E374" s="98"/>
      <c r="F374" s="94"/>
      <c r="G374" s="94"/>
      <c r="H374" s="96"/>
      <c r="I374" s="94"/>
      <c r="J374" s="94"/>
      <c r="K374" s="94"/>
    </row>
    <row r="375" spans="1:11" x14ac:dyDescent="0.25">
      <c r="A375" s="91"/>
      <c r="B375" s="90"/>
      <c r="C375" s="97"/>
      <c r="D375" s="96"/>
      <c r="E375" s="98"/>
      <c r="F375" s="94"/>
      <c r="G375" s="94"/>
      <c r="H375" s="96"/>
      <c r="I375" s="94"/>
      <c r="J375" s="94"/>
      <c r="K375" s="94"/>
    </row>
    <row r="376" spans="1:11" x14ac:dyDescent="0.25">
      <c r="A376" s="91"/>
      <c r="B376" s="90"/>
      <c r="C376" s="97"/>
      <c r="D376" s="96"/>
      <c r="E376" s="98"/>
      <c r="F376" s="94"/>
      <c r="G376" s="94"/>
      <c r="H376" s="96"/>
      <c r="I376" s="94"/>
      <c r="J376" s="94"/>
      <c r="K376" s="94"/>
    </row>
    <row r="377" spans="1:11" x14ac:dyDescent="0.25">
      <c r="A377" s="91"/>
      <c r="B377" s="90"/>
      <c r="C377" s="97"/>
      <c r="D377" s="96"/>
      <c r="E377" s="98"/>
      <c r="F377" s="94"/>
      <c r="G377" s="94"/>
      <c r="H377" s="96"/>
      <c r="I377" s="94"/>
      <c r="J377" s="94"/>
      <c r="K377" s="94"/>
    </row>
    <row r="378" spans="1:11" x14ac:dyDescent="0.25">
      <c r="A378" s="91"/>
      <c r="B378" s="90"/>
      <c r="C378" s="97"/>
      <c r="D378" s="96"/>
      <c r="E378" s="98"/>
      <c r="F378" s="94"/>
      <c r="G378" s="94"/>
      <c r="H378" s="96"/>
      <c r="I378" s="94"/>
      <c r="J378" s="94"/>
      <c r="K378" s="94"/>
    </row>
    <row r="379" spans="1:11" x14ac:dyDescent="0.25">
      <c r="A379" s="91"/>
      <c r="B379" s="90"/>
      <c r="C379" s="97"/>
      <c r="D379" s="96"/>
      <c r="E379" s="98"/>
      <c r="F379" s="94"/>
      <c r="G379" s="94"/>
      <c r="H379" s="96"/>
      <c r="I379" s="94"/>
      <c r="J379" s="94"/>
      <c r="K379" s="94"/>
    </row>
    <row r="380" spans="1:11" x14ac:dyDescent="0.25">
      <c r="A380" s="91"/>
      <c r="B380" s="90"/>
      <c r="C380" s="97"/>
      <c r="D380" s="96"/>
      <c r="E380" s="98"/>
      <c r="F380" s="94"/>
      <c r="G380" s="94"/>
      <c r="H380" s="96"/>
      <c r="I380" s="94"/>
      <c r="J380" s="94"/>
      <c r="K380" s="94"/>
    </row>
    <row r="381" spans="1:11" x14ac:dyDescent="0.25">
      <c r="A381" s="91"/>
      <c r="B381" s="90"/>
      <c r="C381" s="97"/>
      <c r="D381" s="96"/>
      <c r="E381" s="98"/>
      <c r="F381" s="94"/>
      <c r="G381" s="94"/>
      <c r="H381" s="96"/>
      <c r="I381" s="94"/>
      <c r="J381" s="94"/>
      <c r="K381" s="94"/>
    </row>
    <row r="382" spans="1:11" x14ac:dyDescent="0.25">
      <c r="A382" s="91"/>
      <c r="B382" s="90"/>
      <c r="C382" s="97"/>
      <c r="D382" s="96"/>
      <c r="E382" s="98"/>
      <c r="F382" s="94"/>
      <c r="G382" s="94"/>
      <c r="H382" s="96"/>
      <c r="I382" s="94"/>
      <c r="J382" s="94"/>
      <c r="K382" s="94"/>
    </row>
    <row r="383" spans="1:11" x14ac:dyDescent="0.25">
      <c r="A383" s="91"/>
      <c r="B383" s="90"/>
      <c r="C383" s="97"/>
      <c r="D383" s="96"/>
      <c r="E383" s="98"/>
      <c r="F383" s="94"/>
      <c r="G383" s="94"/>
      <c r="H383" s="96"/>
      <c r="I383" s="94"/>
      <c r="J383" s="94"/>
      <c r="K383" s="94"/>
    </row>
    <row r="384" spans="1:11" x14ac:dyDescent="0.25">
      <c r="A384" s="91"/>
      <c r="B384" s="90"/>
      <c r="C384" s="97"/>
      <c r="D384" s="96"/>
      <c r="E384" s="98"/>
      <c r="F384" s="94"/>
      <c r="G384" s="94"/>
      <c r="H384" s="96"/>
      <c r="I384" s="94"/>
      <c r="J384" s="94"/>
      <c r="K384" s="94"/>
    </row>
    <row r="385" spans="1:11" x14ac:dyDescent="0.25">
      <c r="A385" s="91"/>
      <c r="B385" s="90"/>
      <c r="C385" s="97"/>
      <c r="D385" s="96"/>
      <c r="E385" s="98"/>
      <c r="F385" s="94"/>
      <c r="G385" s="94"/>
      <c r="H385" s="96"/>
      <c r="I385" s="94"/>
      <c r="J385" s="94"/>
      <c r="K385" s="94"/>
    </row>
    <row r="386" spans="1:11" x14ac:dyDescent="0.25">
      <c r="A386" s="91"/>
      <c r="B386" s="90"/>
      <c r="C386" s="97"/>
      <c r="D386" s="96"/>
      <c r="E386" s="98"/>
      <c r="F386" s="94"/>
      <c r="G386" s="94"/>
      <c r="H386" s="96"/>
      <c r="I386" s="94"/>
      <c r="J386" s="94"/>
      <c r="K386" s="94"/>
    </row>
    <row r="387" spans="1:11" x14ac:dyDescent="0.25">
      <c r="A387" s="91"/>
      <c r="B387" s="90"/>
      <c r="C387" s="97"/>
      <c r="D387" s="96"/>
      <c r="E387" s="98"/>
      <c r="F387" s="94"/>
      <c r="G387" s="94"/>
      <c r="H387" s="96"/>
      <c r="I387" s="94"/>
      <c r="J387" s="94"/>
      <c r="K387" s="94"/>
    </row>
    <row r="388" spans="1:11" x14ac:dyDescent="0.25">
      <c r="A388" s="91"/>
      <c r="B388" s="90"/>
      <c r="C388" s="97"/>
      <c r="D388" s="96"/>
      <c r="E388" s="98"/>
      <c r="F388" s="94"/>
      <c r="G388" s="94"/>
      <c r="H388" s="96"/>
      <c r="I388" s="94"/>
      <c r="J388" s="94"/>
      <c r="K388" s="94"/>
    </row>
    <row r="389" spans="1:11" x14ac:dyDescent="0.25">
      <c r="A389" s="91"/>
      <c r="B389" s="90"/>
      <c r="C389" s="97"/>
      <c r="D389" s="96"/>
      <c r="E389" s="98"/>
      <c r="F389" s="94"/>
      <c r="G389" s="94"/>
      <c r="H389" s="96"/>
      <c r="I389" s="94"/>
      <c r="J389" s="94"/>
      <c r="K389" s="94"/>
    </row>
    <row r="390" spans="1:11" x14ac:dyDescent="0.25">
      <c r="A390" s="91"/>
      <c r="B390" s="90"/>
      <c r="C390" s="97"/>
      <c r="D390" s="96"/>
      <c r="E390" s="98"/>
      <c r="F390" s="94"/>
      <c r="G390" s="94"/>
      <c r="H390" s="96"/>
      <c r="I390" s="94"/>
      <c r="J390" s="94"/>
      <c r="K390" s="94"/>
    </row>
    <row r="391" spans="1:11" x14ac:dyDescent="0.25">
      <c r="A391" s="91"/>
      <c r="B391" s="90"/>
      <c r="C391" s="97"/>
      <c r="D391" s="96"/>
      <c r="E391" s="98"/>
      <c r="F391" s="94"/>
      <c r="G391" s="94"/>
      <c r="H391" s="96"/>
      <c r="I391" s="94"/>
      <c r="J391" s="94"/>
      <c r="K391" s="94"/>
    </row>
    <row r="392" spans="1:11" x14ac:dyDescent="0.25">
      <c r="A392" s="91"/>
      <c r="B392" s="90"/>
      <c r="C392" s="99"/>
      <c r="D392" s="96"/>
      <c r="E392" s="98"/>
      <c r="F392" s="94"/>
      <c r="G392" s="94"/>
      <c r="H392" s="94"/>
      <c r="I392" s="94"/>
      <c r="J392" s="94"/>
      <c r="K392" s="94"/>
    </row>
    <row r="393" spans="1:11" x14ac:dyDescent="0.25">
      <c r="A393" s="91"/>
      <c r="B393" s="90"/>
      <c r="C393" s="99"/>
      <c r="D393" s="96"/>
      <c r="E393" s="98"/>
      <c r="F393" s="94"/>
      <c r="G393" s="94"/>
      <c r="H393" s="94"/>
      <c r="I393" s="94"/>
      <c r="J393" s="94"/>
      <c r="K393" s="94"/>
    </row>
    <row r="394" spans="1:11" x14ac:dyDescent="0.25">
      <c r="A394" s="91"/>
      <c r="B394" s="90"/>
      <c r="C394" s="99"/>
      <c r="D394" s="96"/>
      <c r="E394" s="98"/>
      <c r="F394" s="94"/>
      <c r="G394" s="94"/>
      <c r="H394" s="94"/>
      <c r="I394" s="94"/>
      <c r="J394" s="94"/>
      <c r="K394" s="94"/>
    </row>
    <row r="395" spans="1:11" x14ac:dyDescent="0.25">
      <c r="A395" s="91"/>
      <c r="B395" s="90"/>
      <c r="C395" s="99"/>
      <c r="D395" s="96"/>
      <c r="E395" s="98"/>
      <c r="F395" s="94"/>
      <c r="G395" s="94"/>
      <c r="H395" s="94"/>
      <c r="I395" s="94"/>
      <c r="J395" s="94"/>
      <c r="K395" s="94"/>
    </row>
    <row r="396" spans="1:11" x14ac:dyDescent="0.25">
      <c r="A396" s="91"/>
      <c r="B396" s="90"/>
      <c r="C396" s="99"/>
      <c r="D396" s="96"/>
      <c r="E396" s="98"/>
      <c r="F396" s="94"/>
      <c r="G396" s="94"/>
      <c r="H396" s="94"/>
      <c r="I396" s="94"/>
      <c r="J396" s="94"/>
      <c r="K396" s="94"/>
    </row>
    <row r="397" spans="1:11" x14ac:dyDescent="0.25">
      <c r="A397" s="91"/>
      <c r="B397" s="90"/>
      <c r="C397" s="99"/>
      <c r="D397" s="96"/>
      <c r="E397" s="98"/>
      <c r="F397" s="94"/>
      <c r="G397" s="94"/>
      <c r="H397" s="94"/>
      <c r="I397" s="94"/>
      <c r="J397" s="94"/>
      <c r="K397" s="94"/>
    </row>
    <row r="398" spans="1:11" x14ac:dyDescent="0.25">
      <c r="A398" s="91"/>
      <c r="B398" s="90"/>
      <c r="C398" s="99"/>
      <c r="D398" s="96"/>
      <c r="E398" s="98"/>
      <c r="F398" s="94"/>
      <c r="G398" s="94"/>
      <c r="H398" s="94"/>
      <c r="I398" s="94"/>
      <c r="J398" s="94"/>
      <c r="K398" s="94"/>
    </row>
    <row r="399" spans="1:11" x14ac:dyDescent="0.25">
      <c r="A399" s="91"/>
      <c r="B399" s="90"/>
      <c r="C399" s="99"/>
      <c r="D399" s="96"/>
      <c r="E399" s="98"/>
      <c r="F399" s="94"/>
      <c r="G399" s="94"/>
      <c r="H399" s="94"/>
      <c r="I399" s="94"/>
      <c r="J399" s="94"/>
      <c r="K399" s="94"/>
    </row>
    <row r="400" spans="1:11" x14ac:dyDescent="0.25">
      <c r="A400" s="91"/>
      <c r="B400" s="90"/>
      <c r="C400" s="99"/>
      <c r="D400" s="96"/>
      <c r="E400" s="98"/>
      <c r="F400" s="94"/>
      <c r="G400" s="94"/>
      <c r="H400" s="94"/>
      <c r="I400" s="94"/>
      <c r="J400" s="94"/>
      <c r="K400" s="94"/>
    </row>
    <row r="401" spans="1:11" x14ac:dyDescent="0.25">
      <c r="A401" s="91"/>
      <c r="B401" s="90"/>
      <c r="C401" s="99"/>
      <c r="D401" s="96"/>
      <c r="E401" s="98"/>
      <c r="F401" s="94"/>
      <c r="G401" s="94"/>
      <c r="H401" s="94"/>
      <c r="I401" s="94"/>
      <c r="J401" s="94"/>
      <c r="K401" s="94"/>
    </row>
    <row r="402" spans="1:11" x14ac:dyDescent="0.25">
      <c r="A402" s="91"/>
      <c r="B402" s="90"/>
      <c r="C402" s="99"/>
      <c r="D402" s="96"/>
      <c r="E402" s="98"/>
      <c r="F402" s="94"/>
      <c r="G402" s="94"/>
      <c r="H402" s="94"/>
      <c r="I402" s="94"/>
      <c r="J402" s="94"/>
      <c r="K402" s="94"/>
    </row>
    <row r="403" spans="1:11" x14ac:dyDescent="0.25">
      <c r="A403" s="91"/>
      <c r="B403" s="90"/>
      <c r="C403" s="99"/>
      <c r="D403" s="96"/>
      <c r="E403" s="98"/>
      <c r="F403" s="94"/>
      <c r="G403" s="94"/>
      <c r="H403" s="94"/>
      <c r="I403" s="94"/>
      <c r="J403" s="94"/>
      <c r="K403" s="94"/>
    </row>
    <row r="404" spans="1:11" x14ac:dyDescent="0.25">
      <c r="A404" s="91"/>
      <c r="B404" s="90"/>
      <c r="C404" s="99"/>
      <c r="D404" s="96"/>
      <c r="E404" s="98"/>
      <c r="F404" s="94"/>
      <c r="G404" s="94"/>
      <c r="H404" s="94"/>
      <c r="I404" s="94"/>
      <c r="J404" s="94"/>
      <c r="K404" s="94"/>
    </row>
    <row r="405" spans="1:11" x14ac:dyDescent="0.25">
      <c r="A405" s="91"/>
      <c r="B405" s="90"/>
      <c r="C405" s="99"/>
      <c r="D405" s="96"/>
      <c r="E405" s="98"/>
      <c r="F405" s="94"/>
      <c r="G405" s="94"/>
      <c r="H405" s="94"/>
      <c r="I405" s="94"/>
      <c r="J405" s="94"/>
      <c r="K405" s="94"/>
    </row>
    <row r="406" spans="1:11" x14ac:dyDescent="0.25">
      <c r="A406" s="91"/>
      <c r="B406" s="90"/>
      <c r="C406" s="99"/>
      <c r="D406" s="96"/>
      <c r="E406" s="98"/>
      <c r="F406" s="94"/>
      <c r="G406" s="94"/>
      <c r="H406" s="94"/>
      <c r="I406" s="94"/>
      <c r="J406" s="94"/>
      <c r="K406" s="94"/>
    </row>
    <row r="407" spans="1:11" x14ac:dyDescent="0.25">
      <c r="A407" s="91"/>
      <c r="B407" s="90"/>
      <c r="C407" s="99"/>
      <c r="D407" s="96"/>
      <c r="E407" s="98"/>
      <c r="F407" s="94"/>
      <c r="G407" s="94"/>
      <c r="H407" s="94"/>
      <c r="I407" s="94"/>
      <c r="J407" s="94"/>
      <c r="K407" s="94"/>
    </row>
    <row r="408" spans="1:11" x14ac:dyDescent="0.25">
      <c r="A408" s="91"/>
      <c r="B408" s="90"/>
      <c r="C408" s="99"/>
      <c r="D408" s="96"/>
      <c r="E408" s="98"/>
      <c r="F408" s="94"/>
      <c r="G408" s="94"/>
      <c r="H408" s="94"/>
      <c r="I408" s="94"/>
      <c r="J408" s="94"/>
      <c r="K408" s="94"/>
    </row>
    <row r="409" spans="1:11" x14ac:dyDescent="0.25">
      <c r="A409" s="91"/>
      <c r="B409" s="90"/>
      <c r="C409" s="99"/>
      <c r="D409" s="96"/>
      <c r="E409" s="98"/>
      <c r="F409" s="94"/>
      <c r="G409" s="94"/>
      <c r="H409" s="94"/>
      <c r="I409" s="94"/>
      <c r="J409" s="94"/>
      <c r="K409" s="94"/>
    </row>
    <row r="410" spans="1:11" x14ac:dyDescent="0.25">
      <c r="A410" s="91"/>
      <c r="B410" s="90"/>
      <c r="C410" s="99"/>
      <c r="D410" s="96"/>
      <c r="E410" s="98"/>
      <c r="F410" s="94"/>
      <c r="G410" s="94"/>
      <c r="H410" s="94"/>
      <c r="I410" s="94"/>
      <c r="J410" s="94"/>
      <c r="K410" s="94"/>
    </row>
    <row r="411" spans="1:11" x14ac:dyDescent="0.25">
      <c r="A411" s="91"/>
      <c r="B411" s="90"/>
      <c r="C411" s="99"/>
      <c r="D411" s="96"/>
      <c r="E411" s="98"/>
      <c r="F411" s="94"/>
      <c r="G411" s="94"/>
      <c r="H411" s="94"/>
      <c r="I411" s="94"/>
      <c r="J411" s="94"/>
      <c r="K411" s="94"/>
    </row>
    <row r="412" spans="1:11" x14ac:dyDescent="0.25">
      <c r="A412" s="91"/>
      <c r="B412" s="90"/>
      <c r="C412" s="99"/>
      <c r="D412" s="96"/>
      <c r="E412" s="98"/>
      <c r="F412" s="94"/>
      <c r="G412" s="94"/>
      <c r="H412" s="94"/>
      <c r="I412" s="94"/>
      <c r="J412" s="94"/>
      <c r="K412" s="94"/>
    </row>
    <row r="413" spans="1:11" x14ac:dyDescent="0.25">
      <c r="A413" s="91"/>
      <c r="B413" s="90"/>
      <c r="C413" s="99"/>
      <c r="D413" s="96"/>
      <c r="E413" s="98"/>
      <c r="F413" s="94"/>
      <c r="G413" s="94"/>
      <c r="H413" s="94"/>
      <c r="I413" s="94"/>
      <c r="J413" s="94"/>
      <c r="K413" s="94"/>
    </row>
    <row r="414" spans="1:11" x14ac:dyDescent="0.25">
      <c r="A414" s="91"/>
      <c r="B414" s="90"/>
      <c r="C414" s="99"/>
      <c r="D414" s="96"/>
      <c r="E414" s="98"/>
      <c r="F414" s="94"/>
      <c r="G414" s="94"/>
      <c r="H414" s="94"/>
      <c r="I414" s="94"/>
      <c r="J414" s="94"/>
      <c r="K414" s="94"/>
    </row>
    <row r="415" spans="1:11" x14ac:dyDescent="0.25">
      <c r="A415" s="91"/>
      <c r="B415" s="90"/>
      <c r="C415" s="99"/>
      <c r="D415" s="96"/>
      <c r="E415" s="98"/>
      <c r="F415" s="94"/>
      <c r="G415" s="94"/>
      <c r="H415" s="94"/>
      <c r="I415" s="94"/>
      <c r="J415" s="94"/>
      <c r="K415" s="94"/>
    </row>
    <row r="416" spans="1:11" x14ac:dyDescent="0.25">
      <c r="A416" s="91"/>
      <c r="B416" s="90"/>
      <c r="C416" s="99"/>
      <c r="D416" s="96"/>
      <c r="E416" s="98"/>
      <c r="F416" s="94"/>
      <c r="G416" s="94"/>
      <c r="H416" s="94"/>
      <c r="I416" s="94"/>
      <c r="J416" s="94"/>
      <c r="K416" s="94"/>
    </row>
    <row r="417" spans="1:11" x14ac:dyDescent="0.25">
      <c r="A417" s="91"/>
      <c r="B417" s="90"/>
      <c r="C417" s="99"/>
      <c r="D417" s="100"/>
      <c r="E417" s="98"/>
      <c r="F417" s="94"/>
      <c r="G417" s="94"/>
      <c r="H417" s="94"/>
      <c r="I417" s="94"/>
      <c r="J417" s="94"/>
      <c r="K417" s="94"/>
    </row>
    <row r="418" spans="1:11" x14ac:dyDescent="0.25">
      <c r="A418" s="91"/>
      <c r="B418" s="90"/>
      <c r="C418" s="99"/>
      <c r="D418" s="96"/>
      <c r="E418" s="98"/>
      <c r="F418" s="94"/>
      <c r="G418" s="94"/>
      <c r="H418" s="94"/>
      <c r="I418" s="94"/>
      <c r="J418" s="94"/>
      <c r="K418" s="94"/>
    </row>
    <row r="419" spans="1:11" x14ac:dyDescent="0.25">
      <c r="A419" s="91"/>
      <c r="B419" s="90"/>
      <c r="C419" s="99"/>
      <c r="D419" s="100"/>
      <c r="E419" s="98"/>
      <c r="F419" s="94"/>
      <c r="G419" s="94"/>
      <c r="H419" s="94"/>
      <c r="I419" s="94"/>
      <c r="J419" s="94"/>
      <c r="K419" s="94"/>
    </row>
    <row r="420" spans="1:11" x14ac:dyDescent="0.25">
      <c r="A420" s="91"/>
      <c r="B420" s="90"/>
      <c r="C420" s="99"/>
      <c r="D420" s="96"/>
      <c r="E420" s="98"/>
      <c r="F420" s="94"/>
      <c r="G420" s="94"/>
      <c r="H420" s="94"/>
      <c r="I420" s="94"/>
      <c r="J420" s="94"/>
      <c r="K420" s="94"/>
    </row>
    <row r="421" spans="1:11" x14ac:dyDescent="0.25">
      <c r="A421" s="91"/>
      <c r="B421" s="90"/>
      <c r="C421" s="99"/>
      <c r="D421" s="100"/>
      <c r="E421" s="98"/>
      <c r="F421" s="94"/>
      <c r="G421" s="94"/>
      <c r="H421" s="94"/>
      <c r="I421" s="94"/>
      <c r="J421" s="94"/>
      <c r="K421" s="94"/>
    </row>
    <row r="422" spans="1:11" x14ac:dyDescent="0.25">
      <c r="A422" s="91"/>
      <c r="B422" s="90"/>
      <c r="C422" s="99"/>
      <c r="D422" s="96"/>
      <c r="E422" s="98"/>
      <c r="F422" s="94"/>
      <c r="G422" s="94"/>
      <c r="H422" s="94"/>
      <c r="I422" s="94"/>
      <c r="J422" s="94"/>
      <c r="K422" s="94"/>
    </row>
    <row r="423" spans="1:11" x14ac:dyDescent="0.25">
      <c r="A423" s="91"/>
      <c r="B423" s="90"/>
      <c r="C423" s="99"/>
      <c r="D423" s="96"/>
      <c r="E423" s="98"/>
      <c r="F423" s="94"/>
      <c r="G423" s="94"/>
      <c r="H423" s="94"/>
      <c r="I423" s="94"/>
      <c r="J423" s="94"/>
      <c r="K423" s="94"/>
    </row>
    <row r="424" spans="1:11" x14ac:dyDescent="0.25">
      <c r="A424" s="91"/>
      <c r="B424" s="90"/>
      <c r="C424" s="99"/>
      <c r="D424" s="100"/>
      <c r="E424" s="98"/>
      <c r="F424" s="94"/>
      <c r="G424" s="94"/>
      <c r="H424" s="94"/>
      <c r="I424" s="94"/>
      <c r="J424" s="94"/>
      <c r="K424" s="94"/>
    </row>
    <row r="425" spans="1:11" x14ac:dyDescent="0.25">
      <c r="A425" s="91"/>
      <c r="B425" s="90"/>
      <c r="C425" s="99"/>
      <c r="D425" s="100"/>
      <c r="E425" s="98"/>
      <c r="F425" s="94"/>
      <c r="G425" s="94"/>
      <c r="H425" s="94"/>
      <c r="I425" s="94"/>
      <c r="J425" s="94"/>
      <c r="K425" s="94"/>
    </row>
    <row r="426" spans="1:11" x14ac:dyDescent="0.25">
      <c r="A426" s="91"/>
      <c r="B426" s="90"/>
      <c r="C426" s="99"/>
      <c r="D426" s="100"/>
      <c r="E426" s="98"/>
      <c r="F426" s="94"/>
      <c r="G426" s="94"/>
      <c r="H426" s="94"/>
      <c r="I426" s="94"/>
      <c r="J426" s="94"/>
      <c r="K426" s="94"/>
    </row>
    <row r="427" spans="1:11" x14ac:dyDescent="0.25">
      <c r="A427" s="91"/>
      <c r="B427" s="90"/>
      <c r="C427" s="99"/>
      <c r="D427" s="100"/>
      <c r="E427" s="98"/>
      <c r="F427" s="94"/>
      <c r="G427" s="94"/>
      <c r="H427" s="94"/>
      <c r="I427" s="94"/>
      <c r="J427" s="94"/>
      <c r="K427" s="94"/>
    </row>
    <row r="428" spans="1:11" x14ac:dyDescent="0.25">
      <c r="A428" s="91"/>
      <c r="B428" s="90"/>
      <c r="C428" s="99"/>
      <c r="D428" s="100"/>
      <c r="E428" s="98"/>
      <c r="F428" s="94"/>
      <c r="G428" s="94"/>
      <c r="H428" s="94"/>
      <c r="I428" s="94"/>
      <c r="J428" s="94"/>
      <c r="K428" s="94"/>
    </row>
    <row r="429" spans="1:11" x14ac:dyDescent="0.25">
      <c r="A429" s="91"/>
      <c r="B429" s="90"/>
      <c r="C429" s="99"/>
      <c r="D429" s="100"/>
      <c r="E429" s="98"/>
      <c r="F429" s="94"/>
      <c r="G429" s="94"/>
      <c r="H429" s="94"/>
      <c r="I429" s="94"/>
      <c r="J429" s="94"/>
      <c r="K429" s="94"/>
    </row>
    <row r="430" spans="1:11" x14ac:dyDescent="0.25">
      <c r="A430" s="91"/>
      <c r="B430" s="90"/>
      <c r="C430" s="99"/>
      <c r="D430" s="100"/>
      <c r="E430" s="98"/>
      <c r="F430" s="94"/>
      <c r="G430" s="94"/>
      <c r="H430" s="94"/>
      <c r="I430" s="94"/>
      <c r="J430" s="94"/>
      <c r="K430" s="94"/>
    </row>
    <row r="431" spans="1:11" x14ac:dyDescent="0.25">
      <c r="A431" s="91"/>
      <c r="B431" s="90"/>
      <c r="C431" s="99"/>
      <c r="D431" s="100"/>
      <c r="E431" s="98"/>
      <c r="F431" s="94"/>
      <c r="G431" s="94"/>
      <c r="H431" s="94"/>
      <c r="I431" s="94"/>
      <c r="J431" s="94"/>
      <c r="K431" s="94"/>
    </row>
    <row r="432" spans="1:11" x14ac:dyDescent="0.25">
      <c r="A432" s="91"/>
      <c r="B432" s="90"/>
      <c r="C432" s="99"/>
      <c r="D432" s="100"/>
      <c r="E432" s="98"/>
      <c r="F432" s="94"/>
      <c r="G432" s="94"/>
      <c r="H432" s="94"/>
      <c r="I432" s="94"/>
      <c r="J432" s="94"/>
      <c r="K432" s="94"/>
    </row>
    <row r="433" spans="1:11" x14ac:dyDescent="0.25">
      <c r="A433" s="91"/>
      <c r="B433" s="90"/>
      <c r="C433" s="99"/>
      <c r="D433" s="100"/>
      <c r="E433" s="98"/>
      <c r="F433" s="94"/>
      <c r="G433" s="94"/>
      <c r="H433" s="94"/>
      <c r="I433" s="94"/>
      <c r="J433" s="94"/>
      <c r="K433" s="94"/>
    </row>
    <row r="434" spans="1:11" x14ac:dyDescent="0.25">
      <c r="A434" s="91"/>
      <c r="B434" s="90"/>
      <c r="C434" s="99"/>
      <c r="D434" s="96"/>
      <c r="E434" s="98"/>
      <c r="F434" s="94"/>
      <c r="G434" s="94"/>
      <c r="H434" s="94"/>
      <c r="I434" s="94"/>
      <c r="J434" s="94"/>
      <c r="K434" s="94"/>
    </row>
    <row r="435" spans="1:11" x14ac:dyDescent="0.25">
      <c r="A435" s="91"/>
      <c r="B435" s="90"/>
      <c r="C435" s="99"/>
      <c r="D435" s="96"/>
      <c r="E435" s="98"/>
      <c r="F435" s="94"/>
      <c r="G435" s="94"/>
      <c r="H435" s="94"/>
      <c r="I435" s="94"/>
      <c r="J435" s="94"/>
      <c r="K435" s="94"/>
    </row>
    <row r="436" spans="1:11" x14ac:dyDescent="0.25">
      <c r="A436" s="91"/>
      <c r="B436" s="90"/>
      <c r="C436" s="99"/>
      <c r="D436" s="96"/>
      <c r="E436" s="98"/>
      <c r="F436" s="94"/>
      <c r="G436" s="94"/>
      <c r="H436" s="94"/>
      <c r="I436" s="94"/>
      <c r="J436" s="94"/>
      <c r="K436" s="94"/>
    </row>
    <row r="437" spans="1:11" x14ac:dyDescent="0.25">
      <c r="A437" s="91"/>
      <c r="B437" s="90"/>
      <c r="C437" s="99"/>
      <c r="D437" s="100"/>
      <c r="E437" s="98"/>
      <c r="F437" s="94"/>
      <c r="G437" s="94"/>
      <c r="H437" s="94"/>
      <c r="I437" s="94"/>
      <c r="J437" s="94"/>
      <c r="K437" s="94"/>
    </row>
    <row r="438" spans="1:11" x14ac:dyDescent="0.25">
      <c r="A438" s="91"/>
      <c r="B438" s="90"/>
      <c r="C438" s="99"/>
      <c r="D438" s="96"/>
      <c r="E438" s="98"/>
      <c r="F438" s="94"/>
      <c r="G438" s="94"/>
      <c r="H438" s="94"/>
      <c r="I438" s="94"/>
      <c r="J438" s="94"/>
      <c r="K438" s="94"/>
    </row>
    <row r="439" spans="1:11" x14ac:dyDescent="0.25">
      <c r="A439" s="91"/>
      <c r="B439" s="90"/>
      <c r="C439" s="99"/>
      <c r="D439" s="96"/>
      <c r="E439" s="98"/>
      <c r="F439" s="94"/>
      <c r="G439" s="94"/>
      <c r="H439" s="94"/>
      <c r="I439" s="94"/>
      <c r="J439" s="94"/>
      <c r="K439" s="94"/>
    </row>
    <row r="440" spans="1:11" x14ac:dyDescent="0.25">
      <c r="A440" s="91"/>
      <c r="B440" s="90"/>
      <c r="C440" s="99"/>
      <c r="D440" s="96"/>
      <c r="E440" s="98"/>
      <c r="F440" s="94"/>
      <c r="G440" s="94"/>
      <c r="H440" s="94"/>
      <c r="I440" s="94"/>
      <c r="J440" s="94"/>
      <c r="K440" s="94"/>
    </row>
    <row r="441" spans="1:11" x14ac:dyDescent="0.25">
      <c r="A441" s="91"/>
      <c r="B441" s="90"/>
      <c r="C441" s="99"/>
      <c r="D441" s="96"/>
      <c r="E441" s="98"/>
      <c r="F441" s="94"/>
      <c r="G441" s="94"/>
      <c r="H441" s="94"/>
      <c r="I441" s="94"/>
      <c r="J441" s="94"/>
      <c r="K441" s="94"/>
    </row>
    <row r="442" spans="1:11" x14ac:dyDescent="0.25">
      <c r="A442" s="91"/>
      <c r="B442" s="90"/>
      <c r="C442" s="99"/>
      <c r="D442" s="96"/>
      <c r="E442" s="98"/>
      <c r="F442" s="94"/>
      <c r="G442" s="94"/>
      <c r="H442" s="94"/>
      <c r="I442" s="94"/>
      <c r="J442" s="94"/>
      <c r="K442" s="94"/>
    </row>
    <row r="443" spans="1:11" x14ac:dyDescent="0.25">
      <c r="A443" s="91"/>
      <c r="B443" s="90"/>
      <c r="C443" s="99"/>
      <c r="D443" s="96"/>
      <c r="E443" s="98"/>
      <c r="F443" s="94"/>
      <c r="G443" s="94"/>
      <c r="H443" s="94"/>
      <c r="I443" s="94"/>
      <c r="J443" s="94"/>
      <c r="K443" s="94"/>
    </row>
    <row r="444" spans="1:11" x14ac:dyDescent="0.25">
      <c r="A444" s="91"/>
      <c r="B444" s="90"/>
      <c r="C444" s="99"/>
      <c r="D444" s="96"/>
      <c r="E444" s="98"/>
      <c r="F444" s="94"/>
      <c r="G444" s="94"/>
      <c r="H444" s="94"/>
      <c r="I444" s="94"/>
      <c r="J444" s="94"/>
      <c r="K444" s="94"/>
    </row>
    <row r="445" spans="1:11" x14ac:dyDescent="0.25">
      <c r="A445" s="91"/>
      <c r="B445" s="90"/>
      <c r="C445" s="99"/>
      <c r="D445" s="96"/>
      <c r="E445" s="98"/>
      <c r="F445" s="94"/>
      <c r="G445" s="94"/>
      <c r="H445" s="94"/>
      <c r="I445" s="94"/>
      <c r="J445" s="94"/>
      <c r="K445" s="94"/>
    </row>
    <row r="446" spans="1:11" x14ac:dyDescent="0.25">
      <c r="A446" s="91"/>
      <c r="B446" s="90"/>
      <c r="C446" s="99"/>
      <c r="D446" s="96"/>
      <c r="E446" s="98"/>
      <c r="F446" s="94"/>
      <c r="G446" s="94"/>
      <c r="H446" s="94"/>
      <c r="I446" s="94"/>
      <c r="J446" s="94"/>
      <c r="K446" s="94"/>
    </row>
    <row r="447" spans="1:11" x14ac:dyDescent="0.25">
      <c r="A447" s="91"/>
      <c r="B447" s="90"/>
      <c r="C447" s="99"/>
      <c r="D447" s="96"/>
      <c r="E447" s="98"/>
      <c r="F447" s="94"/>
      <c r="G447" s="94"/>
      <c r="H447" s="94"/>
      <c r="I447" s="94"/>
      <c r="J447" s="94"/>
      <c r="K447" s="94"/>
    </row>
    <row r="448" spans="1:11" x14ac:dyDescent="0.25">
      <c r="A448" s="91"/>
      <c r="B448" s="90"/>
      <c r="C448" s="99"/>
      <c r="D448" s="100"/>
      <c r="E448" s="98"/>
      <c r="F448" s="94"/>
      <c r="G448" s="94"/>
      <c r="H448" s="94"/>
      <c r="I448" s="94"/>
      <c r="J448" s="94"/>
      <c r="K448" s="94"/>
    </row>
    <row r="449" spans="1:11" x14ac:dyDescent="0.25">
      <c r="A449" s="91"/>
      <c r="B449" s="90"/>
      <c r="C449" s="99"/>
      <c r="D449" s="100"/>
      <c r="E449" s="98"/>
      <c r="F449" s="94"/>
      <c r="G449" s="94"/>
      <c r="H449" s="94"/>
      <c r="I449" s="94"/>
      <c r="J449" s="94"/>
      <c r="K449" s="94"/>
    </row>
    <row r="450" spans="1:11" x14ac:dyDescent="0.25">
      <c r="A450" s="91"/>
      <c r="B450" s="90"/>
      <c r="C450" s="99"/>
      <c r="D450" s="100"/>
      <c r="E450" s="98"/>
      <c r="F450" s="94"/>
      <c r="G450" s="94"/>
      <c r="H450" s="94"/>
      <c r="I450" s="94"/>
      <c r="J450" s="94"/>
      <c r="K450" s="94"/>
    </row>
    <row r="451" spans="1:11" x14ac:dyDescent="0.25">
      <c r="A451" s="91"/>
      <c r="B451" s="90"/>
      <c r="C451" s="99"/>
      <c r="D451" s="100"/>
      <c r="E451" s="98"/>
      <c r="F451" s="94"/>
      <c r="G451" s="94"/>
      <c r="H451" s="94"/>
      <c r="I451" s="94"/>
      <c r="J451" s="94"/>
      <c r="K451" s="94"/>
    </row>
    <row r="452" spans="1:11" x14ac:dyDescent="0.25">
      <c r="A452" s="91"/>
      <c r="B452" s="90"/>
      <c r="C452" s="99"/>
      <c r="D452" s="100"/>
      <c r="E452" s="98"/>
      <c r="F452" s="94"/>
      <c r="G452" s="94"/>
      <c r="H452" s="94"/>
      <c r="I452" s="94"/>
      <c r="J452" s="94"/>
      <c r="K452" s="94"/>
    </row>
    <row r="453" spans="1:11" x14ac:dyDescent="0.25">
      <c r="A453" s="91"/>
      <c r="B453" s="90"/>
      <c r="C453" s="99"/>
      <c r="D453" s="100"/>
      <c r="E453" s="98"/>
      <c r="F453" s="94"/>
      <c r="G453" s="94"/>
      <c r="H453" s="94"/>
      <c r="I453" s="94"/>
      <c r="J453" s="94"/>
      <c r="K453" s="94"/>
    </row>
    <row r="454" spans="1:11" x14ac:dyDescent="0.25">
      <c r="A454" s="91"/>
      <c r="B454" s="90"/>
      <c r="C454" s="99"/>
      <c r="D454" s="96"/>
      <c r="E454" s="98"/>
      <c r="F454" s="94"/>
      <c r="G454" s="94"/>
      <c r="H454" s="94"/>
      <c r="I454" s="94"/>
      <c r="J454" s="94"/>
      <c r="K454" s="94"/>
    </row>
    <row r="455" spans="1:11" x14ac:dyDescent="0.25">
      <c r="A455" s="91"/>
      <c r="B455" s="90"/>
      <c r="C455" s="99"/>
      <c r="D455" s="100"/>
      <c r="E455" s="98"/>
      <c r="F455" s="94"/>
      <c r="G455" s="94"/>
      <c r="H455" s="94"/>
      <c r="I455" s="94"/>
      <c r="J455" s="94"/>
      <c r="K455" s="94"/>
    </row>
    <row r="456" spans="1:11" x14ac:dyDescent="0.25">
      <c r="A456" s="91"/>
      <c r="B456" s="90"/>
      <c r="C456" s="99"/>
      <c r="D456" s="96"/>
      <c r="E456" s="98"/>
      <c r="F456" s="94"/>
      <c r="G456" s="94"/>
      <c r="H456" s="94"/>
      <c r="I456" s="94"/>
      <c r="J456" s="94"/>
      <c r="K456" s="94"/>
    </row>
    <row r="457" spans="1:11" x14ac:dyDescent="0.25">
      <c r="A457" s="91"/>
      <c r="B457" s="90"/>
      <c r="C457" s="99"/>
      <c r="D457" s="96"/>
      <c r="E457" s="98"/>
      <c r="F457" s="94"/>
      <c r="G457" s="94"/>
      <c r="H457" s="94"/>
      <c r="I457" s="94"/>
      <c r="J457" s="94"/>
      <c r="K457" s="94"/>
    </row>
    <row r="458" spans="1:11" x14ac:dyDescent="0.25">
      <c r="A458" s="91"/>
      <c r="B458" s="90"/>
      <c r="C458" s="99"/>
      <c r="D458" s="100"/>
      <c r="E458" s="98"/>
      <c r="F458" s="94"/>
      <c r="G458" s="94"/>
      <c r="H458" s="94"/>
      <c r="I458" s="94"/>
      <c r="J458" s="94"/>
      <c r="K458" s="94"/>
    </row>
    <row r="459" spans="1:11" x14ac:dyDescent="0.25">
      <c r="A459" s="91"/>
      <c r="B459" s="90"/>
      <c r="C459" s="99"/>
      <c r="D459" s="96"/>
      <c r="E459" s="98"/>
      <c r="F459" s="94"/>
      <c r="G459" s="94"/>
      <c r="H459" s="94"/>
      <c r="I459" s="94"/>
      <c r="J459" s="94"/>
      <c r="K459" s="94"/>
    </row>
    <row r="460" spans="1:11" x14ac:dyDescent="0.25">
      <c r="A460" s="91"/>
      <c r="B460" s="90"/>
      <c r="C460" s="99"/>
      <c r="D460" s="96"/>
      <c r="E460" s="98"/>
      <c r="F460" s="94"/>
      <c r="G460" s="94"/>
      <c r="H460" s="94"/>
      <c r="I460" s="94"/>
      <c r="J460" s="94"/>
      <c r="K460" s="94"/>
    </row>
    <row r="461" spans="1:11" x14ac:dyDescent="0.25">
      <c r="A461" s="91"/>
      <c r="B461" s="90"/>
      <c r="C461" s="99"/>
      <c r="D461" s="96"/>
      <c r="E461" s="98"/>
      <c r="F461" s="94"/>
      <c r="G461" s="94"/>
      <c r="H461" s="94"/>
      <c r="I461" s="94"/>
      <c r="J461" s="94"/>
      <c r="K461" s="94"/>
    </row>
    <row r="462" spans="1:11" x14ac:dyDescent="0.25">
      <c r="A462" s="91"/>
      <c r="B462" s="90"/>
      <c r="C462" s="99"/>
      <c r="D462" s="96"/>
      <c r="E462" s="98"/>
      <c r="F462" s="94"/>
      <c r="G462" s="94"/>
      <c r="H462" s="94"/>
      <c r="I462" s="94"/>
      <c r="J462" s="94"/>
      <c r="K462" s="94"/>
    </row>
    <row r="463" spans="1:11" x14ac:dyDescent="0.25">
      <c r="A463" s="91"/>
      <c r="B463" s="90"/>
      <c r="C463" s="99"/>
      <c r="D463" s="100"/>
      <c r="E463" s="98"/>
      <c r="F463" s="94"/>
      <c r="G463" s="94"/>
      <c r="H463" s="94"/>
      <c r="I463" s="94"/>
      <c r="J463" s="94"/>
      <c r="K463" s="94"/>
    </row>
    <row r="464" spans="1:11" x14ac:dyDescent="0.25">
      <c r="A464" s="91"/>
      <c r="B464" s="90"/>
      <c r="C464" s="99"/>
      <c r="D464" s="96"/>
      <c r="E464" s="98"/>
      <c r="F464" s="94"/>
      <c r="G464" s="94"/>
      <c r="H464" s="94"/>
      <c r="I464" s="94"/>
      <c r="J464" s="94"/>
      <c r="K464" s="94"/>
    </row>
    <row r="465" spans="1:11" x14ac:dyDescent="0.25">
      <c r="A465" s="91"/>
      <c r="B465" s="90"/>
      <c r="C465" s="99"/>
      <c r="D465" s="96"/>
      <c r="E465" s="98"/>
      <c r="F465" s="94"/>
      <c r="G465" s="94"/>
      <c r="H465" s="94"/>
      <c r="I465" s="94"/>
      <c r="J465" s="94"/>
      <c r="K465" s="94"/>
    </row>
    <row r="466" spans="1:11" x14ac:dyDescent="0.25">
      <c r="A466" s="91"/>
      <c r="B466" s="90"/>
      <c r="C466" s="99"/>
      <c r="D466" s="96"/>
      <c r="E466" s="98"/>
      <c r="F466" s="94"/>
      <c r="G466" s="94"/>
      <c r="H466" s="94"/>
      <c r="I466" s="94"/>
      <c r="J466" s="94"/>
      <c r="K466" s="94"/>
    </row>
    <row r="467" spans="1:11" x14ac:dyDescent="0.25">
      <c r="A467" s="91"/>
      <c r="B467" s="90"/>
      <c r="C467" s="99"/>
      <c r="D467" s="96"/>
      <c r="E467" s="98"/>
      <c r="F467" s="94"/>
      <c r="G467" s="94"/>
      <c r="H467" s="94"/>
      <c r="I467" s="94"/>
      <c r="J467" s="94"/>
      <c r="K467" s="94"/>
    </row>
    <row r="468" spans="1:11" x14ac:dyDescent="0.25">
      <c r="A468" s="91"/>
      <c r="B468" s="90"/>
      <c r="C468" s="99"/>
      <c r="D468" s="100"/>
      <c r="E468" s="98"/>
      <c r="F468" s="94"/>
      <c r="G468" s="94"/>
      <c r="H468" s="94"/>
      <c r="I468" s="94"/>
      <c r="J468" s="94"/>
      <c r="K468" s="94"/>
    </row>
    <row r="469" spans="1:11" x14ac:dyDescent="0.25">
      <c r="A469" s="91"/>
      <c r="B469" s="90"/>
      <c r="C469" s="99"/>
      <c r="D469" s="96"/>
      <c r="E469" s="98"/>
      <c r="F469" s="94"/>
      <c r="G469" s="94"/>
      <c r="H469" s="94"/>
      <c r="I469" s="94"/>
      <c r="J469" s="94"/>
      <c r="K469" s="94"/>
    </row>
    <row r="470" spans="1:11" x14ac:dyDescent="0.25">
      <c r="A470" s="91"/>
      <c r="B470" s="90"/>
      <c r="C470" s="99"/>
      <c r="D470" s="96"/>
      <c r="E470" s="98"/>
      <c r="F470" s="94"/>
      <c r="G470" s="94"/>
      <c r="H470" s="94"/>
      <c r="I470" s="94"/>
      <c r="J470" s="94"/>
      <c r="K470" s="94"/>
    </row>
    <row r="471" spans="1:11" x14ac:dyDescent="0.25">
      <c r="A471" s="91"/>
      <c r="B471" s="90"/>
      <c r="C471" s="99"/>
      <c r="D471" s="100"/>
      <c r="E471" s="98"/>
      <c r="F471" s="94"/>
      <c r="G471" s="94"/>
      <c r="H471" s="94"/>
      <c r="I471" s="94"/>
      <c r="J471" s="94"/>
      <c r="K471" s="94"/>
    </row>
    <row r="472" spans="1:11" x14ac:dyDescent="0.25">
      <c r="A472" s="91"/>
      <c r="B472" s="90"/>
      <c r="C472" s="99"/>
      <c r="D472" s="96"/>
      <c r="E472" s="98"/>
      <c r="F472" s="94"/>
      <c r="G472" s="94"/>
      <c r="H472" s="94"/>
      <c r="I472" s="94"/>
      <c r="J472" s="94"/>
      <c r="K472" s="94"/>
    </row>
    <row r="473" spans="1:11" x14ac:dyDescent="0.25">
      <c r="A473" s="91"/>
      <c r="B473" s="90"/>
      <c r="C473" s="99"/>
      <c r="D473" s="96"/>
      <c r="E473" s="98"/>
      <c r="F473" s="94"/>
      <c r="G473" s="94"/>
      <c r="H473" s="94"/>
      <c r="I473" s="94"/>
      <c r="J473" s="94"/>
      <c r="K473" s="94"/>
    </row>
    <row r="474" spans="1:11" x14ac:dyDescent="0.25">
      <c r="A474" s="91"/>
      <c r="B474" s="90"/>
      <c r="C474" s="99"/>
      <c r="D474" s="96"/>
      <c r="E474" s="98"/>
      <c r="F474" s="94"/>
      <c r="G474" s="94"/>
      <c r="H474" s="94"/>
      <c r="I474" s="94"/>
      <c r="J474" s="94"/>
      <c r="K474" s="94"/>
    </row>
    <row r="475" spans="1:11" x14ac:dyDescent="0.25">
      <c r="A475" s="91"/>
      <c r="B475" s="90"/>
      <c r="C475" s="99"/>
      <c r="D475" s="100"/>
      <c r="E475" s="98"/>
      <c r="F475" s="94"/>
      <c r="G475" s="94"/>
      <c r="H475" s="94"/>
      <c r="I475" s="94"/>
      <c r="J475" s="94"/>
      <c r="K475" s="94"/>
    </row>
    <row r="476" spans="1:11" x14ac:dyDescent="0.25">
      <c r="A476" s="91"/>
      <c r="B476" s="90"/>
      <c r="C476" s="99"/>
      <c r="D476" s="96"/>
      <c r="E476" s="98"/>
      <c r="F476" s="94"/>
      <c r="G476" s="94"/>
      <c r="H476" s="94"/>
      <c r="I476" s="94"/>
      <c r="J476" s="94"/>
      <c r="K476" s="94"/>
    </row>
    <row r="477" spans="1:11" x14ac:dyDescent="0.25">
      <c r="A477" s="91"/>
      <c r="B477" s="90"/>
      <c r="C477" s="99"/>
      <c r="D477" s="96"/>
      <c r="E477" s="98"/>
      <c r="F477" s="94"/>
      <c r="G477" s="94"/>
      <c r="H477" s="94"/>
      <c r="I477" s="94"/>
      <c r="J477" s="94"/>
      <c r="K477" s="94"/>
    </row>
    <row r="478" spans="1:11" x14ac:dyDescent="0.25">
      <c r="A478" s="91"/>
      <c r="B478" s="90"/>
      <c r="C478" s="99"/>
      <c r="D478" s="100"/>
      <c r="E478" s="98"/>
      <c r="F478" s="94"/>
      <c r="G478" s="94"/>
      <c r="H478" s="94"/>
      <c r="I478" s="94"/>
      <c r="J478" s="94"/>
      <c r="K478" s="94"/>
    </row>
    <row r="479" spans="1:11" x14ac:dyDescent="0.25">
      <c r="A479" s="91"/>
      <c r="B479" s="90"/>
      <c r="C479" s="99"/>
      <c r="D479" s="101"/>
      <c r="E479" s="98"/>
      <c r="F479" s="94"/>
      <c r="G479" s="94"/>
      <c r="H479" s="94"/>
      <c r="I479" s="94"/>
      <c r="J479" s="94"/>
      <c r="K479" s="94"/>
    </row>
    <row r="480" spans="1:11" x14ac:dyDescent="0.25">
      <c r="A480" s="91"/>
      <c r="B480" s="90"/>
      <c r="C480" s="99"/>
      <c r="D480" s="100"/>
      <c r="E480" s="98"/>
      <c r="F480" s="94"/>
      <c r="G480" s="94"/>
      <c r="H480" s="94"/>
      <c r="I480" s="94"/>
      <c r="J480" s="94"/>
      <c r="K480" s="94"/>
    </row>
    <row r="481" spans="1:11" x14ac:dyDescent="0.25">
      <c r="A481" s="91"/>
      <c r="B481" s="90"/>
      <c r="C481" s="99"/>
      <c r="D481" s="101"/>
      <c r="E481" s="98"/>
      <c r="F481" s="94"/>
      <c r="G481" s="94"/>
      <c r="H481" s="94"/>
      <c r="I481" s="94"/>
      <c r="J481" s="94"/>
      <c r="K481" s="94"/>
    </row>
    <row r="482" spans="1:11" x14ac:dyDescent="0.25">
      <c r="A482" s="91"/>
      <c r="B482" s="90"/>
      <c r="C482" s="99"/>
      <c r="D482" s="100"/>
      <c r="E482" s="98"/>
      <c r="F482" s="94"/>
      <c r="G482" s="94"/>
      <c r="H482" s="94"/>
      <c r="I482" s="94"/>
      <c r="J482" s="94"/>
      <c r="K482" s="94"/>
    </row>
    <row r="483" spans="1:11" x14ac:dyDescent="0.25">
      <c r="A483" s="91"/>
      <c r="B483" s="90"/>
      <c r="C483" s="99"/>
      <c r="D483" s="100"/>
      <c r="E483" s="98"/>
      <c r="F483" s="94"/>
      <c r="G483" s="94"/>
      <c r="H483" s="94"/>
      <c r="I483" s="94"/>
      <c r="J483" s="94"/>
      <c r="K483" s="94"/>
    </row>
    <row r="484" spans="1:11" x14ac:dyDescent="0.25">
      <c r="A484" s="91"/>
      <c r="B484" s="90"/>
      <c r="C484" s="99"/>
      <c r="D484" s="100"/>
      <c r="E484" s="98"/>
      <c r="F484" s="94"/>
      <c r="G484" s="94"/>
      <c r="H484" s="94"/>
      <c r="I484" s="94"/>
      <c r="J484" s="94"/>
      <c r="K484" s="94"/>
    </row>
    <row r="485" spans="1:11" x14ac:dyDescent="0.25">
      <c r="A485" s="91"/>
      <c r="B485" s="90"/>
      <c r="C485" s="99"/>
      <c r="D485" s="101"/>
      <c r="E485" s="98"/>
      <c r="F485" s="94"/>
      <c r="G485" s="94"/>
      <c r="H485" s="94"/>
      <c r="I485" s="94"/>
      <c r="J485" s="94"/>
      <c r="K485" s="94"/>
    </row>
    <row r="486" spans="1:11" x14ac:dyDescent="0.25">
      <c r="A486" s="91"/>
      <c r="B486" s="90"/>
      <c r="C486" s="99"/>
      <c r="D486" s="101"/>
      <c r="E486" s="98"/>
      <c r="F486" s="94"/>
      <c r="G486" s="94"/>
      <c r="H486" s="94"/>
      <c r="I486" s="94"/>
      <c r="J486" s="94"/>
      <c r="K486" s="94"/>
    </row>
    <row r="487" spans="1:11" x14ac:dyDescent="0.25">
      <c r="A487" s="91"/>
      <c r="B487" s="90"/>
      <c r="C487" s="99"/>
      <c r="D487" s="100"/>
      <c r="E487" s="98"/>
      <c r="F487" s="94"/>
      <c r="G487" s="94"/>
      <c r="H487" s="94"/>
      <c r="I487" s="94"/>
      <c r="J487" s="94"/>
      <c r="K487" s="94"/>
    </row>
    <row r="488" spans="1:11" x14ac:dyDescent="0.25">
      <c r="A488" s="91"/>
      <c r="B488" s="90"/>
      <c r="C488" s="99"/>
      <c r="D488" s="101"/>
      <c r="E488" s="98"/>
      <c r="F488" s="94"/>
      <c r="G488" s="94"/>
      <c r="H488" s="94"/>
      <c r="I488" s="94"/>
      <c r="J488" s="94"/>
      <c r="K488" s="94"/>
    </row>
    <row r="489" spans="1:11" x14ac:dyDescent="0.25">
      <c r="A489" s="91"/>
      <c r="B489" s="90"/>
      <c r="C489" s="99"/>
      <c r="D489" s="100"/>
      <c r="E489" s="98"/>
      <c r="F489" s="94"/>
      <c r="G489" s="94"/>
      <c r="H489" s="94"/>
      <c r="I489" s="94"/>
      <c r="J489" s="94"/>
      <c r="K489" s="94"/>
    </row>
    <row r="490" spans="1:11" x14ac:dyDescent="0.25">
      <c r="A490" s="91"/>
      <c r="B490" s="90"/>
      <c r="C490" s="99"/>
      <c r="D490" s="100"/>
      <c r="E490" s="98"/>
      <c r="F490" s="94"/>
      <c r="G490" s="94"/>
      <c r="H490" s="94"/>
      <c r="I490" s="94"/>
      <c r="J490" s="94"/>
      <c r="K490" s="94"/>
    </row>
    <row r="491" spans="1:11" x14ac:dyDescent="0.25">
      <c r="A491" s="91"/>
      <c r="B491" s="90"/>
      <c r="C491" s="99"/>
      <c r="D491" s="101"/>
      <c r="E491" s="98"/>
      <c r="F491" s="94"/>
      <c r="G491" s="94"/>
      <c r="H491" s="94"/>
      <c r="I491" s="94"/>
      <c r="J491" s="94"/>
      <c r="K491" s="94"/>
    </row>
    <row r="492" spans="1:11" x14ac:dyDescent="0.25">
      <c r="A492" s="91"/>
      <c r="B492" s="90"/>
      <c r="C492" s="99"/>
      <c r="D492" s="100"/>
      <c r="E492" s="98"/>
      <c r="F492" s="94"/>
      <c r="G492" s="94"/>
      <c r="H492" s="94"/>
      <c r="I492" s="94"/>
      <c r="J492" s="94"/>
      <c r="K492" s="94"/>
    </row>
    <row r="493" spans="1:11" x14ac:dyDescent="0.25">
      <c r="A493" s="91"/>
      <c r="B493" s="90"/>
      <c r="C493" s="99"/>
      <c r="D493" s="100"/>
      <c r="E493" s="98"/>
      <c r="F493" s="94"/>
      <c r="G493" s="94"/>
      <c r="H493" s="94"/>
      <c r="I493" s="94"/>
      <c r="J493" s="94"/>
      <c r="K493" s="94"/>
    </row>
    <row r="494" spans="1:11" x14ac:dyDescent="0.25">
      <c r="A494" s="91"/>
      <c r="B494" s="90"/>
      <c r="C494" s="99"/>
      <c r="D494" s="100"/>
      <c r="E494" s="98"/>
      <c r="F494" s="94"/>
      <c r="G494" s="94"/>
      <c r="H494" s="94"/>
      <c r="I494" s="94"/>
      <c r="J494" s="94"/>
      <c r="K494" s="94"/>
    </row>
    <row r="495" spans="1:11" x14ac:dyDescent="0.25">
      <c r="A495" s="91"/>
      <c r="B495" s="90"/>
      <c r="C495" s="99"/>
      <c r="D495" s="101"/>
      <c r="E495" s="98"/>
      <c r="F495" s="94"/>
      <c r="G495" s="94"/>
      <c r="H495" s="94"/>
      <c r="I495" s="94"/>
      <c r="J495" s="94"/>
      <c r="K495" s="94"/>
    </row>
    <row r="496" spans="1:11" x14ac:dyDescent="0.25">
      <c r="A496" s="91"/>
      <c r="B496" s="90"/>
      <c r="C496" s="99"/>
      <c r="D496" s="101"/>
      <c r="E496" s="98"/>
      <c r="F496" s="94"/>
      <c r="G496" s="94"/>
      <c r="H496" s="94"/>
      <c r="I496" s="94"/>
      <c r="J496" s="94"/>
      <c r="K496" s="94"/>
    </row>
    <row r="497" spans="1:11" x14ac:dyDescent="0.25">
      <c r="A497" s="91"/>
      <c r="B497" s="90"/>
      <c r="C497" s="99"/>
      <c r="D497" s="100"/>
      <c r="E497" s="98"/>
      <c r="F497" s="94"/>
      <c r="G497" s="94"/>
      <c r="H497" s="94"/>
      <c r="I497" s="94"/>
      <c r="J497" s="94"/>
      <c r="K497" s="94"/>
    </row>
    <row r="498" spans="1:11" x14ac:dyDescent="0.25">
      <c r="A498" s="91"/>
      <c r="B498" s="90"/>
      <c r="C498" s="99"/>
      <c r="D498" s="101"/>
      <c r="E498" s="98"/>
      <c r="F498" s="94"/>
      <c r="G498" s="94"/>
      <c r="H498" s="94"/>
      <c r="I498" s="94"/>
      <c r="J498" s="94"/>
      <c r="K498" s="94"/>
    </row>
    <row r="499" spans="1:11" x14ac:dyDescent="0.25">
      <c r="A499" s="91"/>
      <c r="B499" s="90"/>
      <c r="C499" s="99"/>
      <c r="D499" s="100"/>
      <c r="E499" s="98"/>
      <c r="F499" s="94"/>
      <c r="G499" s="94"/>
      <c r="H499" s="94"/>
      <c r="I499" s="94"/>
      <c r="J499" s="94"/>
      <c r="K499" s="94"/>
    </row>
    <row r="500" spans="1:11" x14ac:dyDescent="0.25">
      <c r="A500" s="91"/>
      <c r="B500" s="90"/>
      <c r="C500" s="99"/>
      <c r="D500" s="100"/>
      <c r="E500" s="98"/>
      <c r="F500" s="94"/>
      <c r="G500" s="94"/>
      <c r="H500" s="94"/>
      <c r="I500" s="94"/>
      <c r="J500" s="94"/>
      <c r="K500" s="94"/>
    </row>
    <row r="501" spans="1:11" x14ac:dyDescent="0.25">
      <c r="A501" s="91"/>
      <c r="B501" s="90"/>
      <c r="C501" s="99"/>
      <c r="D501" s="100"/>
      <c r="E501" s="98"/>
      <c r="F501" s="94"/>
      <c r="G501" s="94"/>
      <c r="H501" s="94"/>
      <c r="I501" s="94"/>
      <c r="J501" s="94"/>
      <c r="K501" s="94"/>
    </row>
    <row r="502" spans="1:11" x14ac:dyDescent="0.25">
      <c r="A502" s="91"/>
      <c r="B502" s="90"/>
      <c r="C502" s="99"/>
      <c r="D502" s="100"/>
      <c r="E502" s="98"/>
      <c r="F502" s="94"/>
      <c r="G502" s="94"/>
      <c r="H502" s="94"/>
      <c r="I502" s="94"/>
      <c r="J502" s="94"/>
      <c r="K502" s="94"/>
    </row>
    <row r="503" spans="1:11" x14ac:dyDescent="0.25">
      <c r="A503" s="91"/>
      <c r="B503" s="90"/>
      <c r="C503" s="99"/>
      <c r="D503" s="100"/>
      <c r="E503" s="98"/>
      <c r="F503" s="94"/>
      <c r="G503" s="94"/>
      <c r="H503" s="94"/>
      <c r="I503" s="94"/>
      <c r="J503" s="94"/>
      <c r="K503" s="94"/>
    </row>
    <row r="504" spans="1:11" x14ac:dyDescent="0.25">
      <c r="C504" s="94"/>
      <c r="D504" s="100"/>
      <c r="E504" s="98"/>
      <c r="F504" s="94"/>
      <c r="G504" s="94"/>
      <c r="H504" s="94"/>
      <c r="I504" s="94"/>
      <c r="J504" s="94"/>
      <c r="K504" s="94"/>
    </row>
    <row r="505" spans="1:11" x14ac:dyDescent="0.25">
      <c r="C505" s="94"/>
      <c r="D505" s="100"/>
      <c r="E505" s="98"/>
      <c r="F505" s="94"/>
      <c r="G505" s="94"/>
      <c r="H505" s="94"/>
      <c r="I505" s="94"/>
      <c r="J505" s="94"/>
      <c r="K505" s="94"/>
    </row>
    <row r="506" spans="1:11" x14ac:dyDescent="0.25">
      <c r="C506" s="94"/>
      <c r="D506" s="100"/>
      <c r="E506" s="98"/>
      <c r="F506" s="94"/>
      <c r="G506" s="94"/>
      <c r="H506" s="94"/>
      <c r="I506" s="94"/>
      <c r="J506" s="94"/>
      <c r="K506" s="94"/>
    </row>
    <row r="507" spans="1:11" x14ac:dyDescent="0.25">
      <c r="C507" s="94"/>
      <c r="D507" s="100"/>
      <c r="E507" s="98"/>
      <c r="F507" s="94"/>
      <c r="G507" s="94"/>
      <c r="H507" s="94"/>
      <c r="I507" s="94"/>
      <c r="J507" s="94"/>
      <c r="K507" s="94"/>
    </row>
    <row r="508" spans="1:11" x14ac:dyDescent="0.25">
      <c r="C508" s="94"/>
      <c r="D508" s="100"/>
      <c r="E508" s="98"/>
      <c r="F508" s="94"/>
      <c r="G508" s="94"/>
      <c r="H508" s="94"/>
      <c r="I508" s="94"/>
      <c r="J508" s="94"/>
      <c r="K508" s="94"/>
    </row>
    <row r="509" spans="1:11" x14ac:dyDescent="0.25">
      <c r="C509" s="94"/>
      <c r="D509" s="100"/>
      <c r="E509" s="98"/>
      <c r="F509" s="94"/>
      <c r="G509" s="94"/>
      <c r="H509" s="94"/>
      <c r="I509" s="94"/>
      <c r="J509" s="94"/>
      <c r="K509" s="94"/>
    </row>
    <row r="510" spans="1:11" x14ac:dyDescent="0.25">
      <c r="C510" s="94"/>
      <c r="D510" s="96"/>
      <c r="E510" s="98"/>
      <c r="F510" s="94"/>
      <c r="G510" s="94"/>
      <c r="H510" s="94"/>
      <c r="I510" s="94"/>
      <c r="J510" s="94"/>
      <c r="K510" s="94"/>
    </row>
    <row r="511" spans="1:11" x14ac:dyDescent="0.25">
      <c r="C511" s="94"/>
      <c r="D511" s="96"/>
      <c r="E511" s="98"/>
      <c r="F511" s="94"/>
      <c r="G511" s="94"/>
      <c r="H511" s="94"/>
      <c r="I511" s="94"/>
      <c r="J511" s="94"/>
      <c r="K511" s="94"/>
    </row>
    <row r="512" spans="1:11" x14ac:dyDescent="0.25">
      <c r="C512" s="94"/>
      <c r="D512" s="100"/>
      <c r="E512" s="98"/>
      <c r="F512" s="94"/>
      <c r="G512" s="94"/>
      <c r="H512" s="94"/>
      <c r="I512" s="94"/>
      <c r="J512" s="94"/>
      <c r="K512" s="94"/>
    </row>
    <row r="513" spans="3:11" x14ac:dyDescent="0.25">
      <c r="C513" s="94"/>
      <c r="D513" s="96"/>
      <c r="E513" s="98"/>
      <c r="F513" s="94"/>
      <c r="G513" s="94"/>
      <c r="H513" s="94"/>
      <c r="I513" s="94"/>
      <c r="J513" s="94"/>
      <c r="K513" s="94"/>
    </row>
    <row r="514" spans="3:11" x14ac:dyDescent="0.25">
      <c r="C514" s="94"/>
      <c r="D514" s="96"/>
      <c r="E514" s="98"/>
      <c r="F514" s="94"/>
      <c r="G514" s="94"/>
      <c r="H514" s="94"/>
      <c r="I514" s="94"/>
      <c r="J514" s="94"/>
      <c r="K514" s="94"/>
    </row>
    <row r="515" spans="3:11" x14ac:dyDescent="0.25">
      <c r="C515" s="94"/>
      <c r="D515" s="96"/>
      <c r="E515" s="98"/>
      <c r="F515" s="94"/>
      <c r="G515" s="94"/>
      <c r="H515" s="94"/>
      <c r="I515" s="94"/>
      <c r="J515" s="94"/>
      <c r="K515" s="94"/>
    </row>
    <row r="516" spans="3:11" x14ac:dyDescent="0.25">
      <c r="C516" s="94"/>
      <c r="D516" s="96"/>
      <c r="E516" s="98"/>
      <c r="F516" s="94"/>
      <c r="G516" s="94"/>
      <c r="H516" s="94"/>
      <c r="I516" s="94"/>
      <c r="J516" s="94"/>
      <c r="K516" s="94"/>
    </row>
    <row r="517" spans="3:11" x14ac:dyDescent="0.25">
      <c r="C517" s="94"/>
      <c r="D517" s="96"/>
      <c r="E517" s="98"/>
      <c r="F517" s="94"/>
      <c r="G517" s="94"/>
      <c r="H517" s="94"/>
      <c r="I517" s="94"/>
      <c r="J517" s="94"/>
      <c r="K517" s="94"/>
    </row>
    <row r="518" spans="3:11" x14ac:dyDescent="0.25">
      <c r="C518" s="94"/>
      <c r="D518" s="96"/>
      <c r="E518" s="98"/>
      <c r="F518" s="94"/>
      <c r="G518" s="94"/>
      <c r="H518" s="94"/>
      <c r="I518" s="94"/>
      <c r="J518" s="94"/>
      <c r="K518" s="94"/>
    </row>
    <row r="519" spans="3:11" x14ac:dyDescent="0.25">
      <c r="C519" s="94"/>
      <c r="D519" s="96"/>
      <c r="E519" s="98"/>
      <c r="F519" s="94"/>
      <c r="G519" s="94"/>
      <c r="H519" s="94"/>
      <c r="I519" s="94"/>
      <c r="J519" s="94"/>
      <c r="K519" s="94"/>
    </row>
    <row r="520" spans="3:11" x14ac:dyDescent="0.25">
      <c r="C520" s="94"/>
      <c r="D520" s="96"/>
      <c r="E520" s="98"/>
      <c r="F520" s="94"/>
      <c r="G520" s="94"/>
      <c r="H520" s="94"/>
      <c r="I520" s="94"/>
      <c r="J520" s="94"/>
      <c r="K520" s="94"/>
    </row>
    <row r="521" spans="3:11" x14ac:dyDescent="0.25">
      <c r="C521" s="94"/>
      <c r="D521" s="96"/>
      <c r="E521" s="98"/>
      <c r="F521" s="94"/>
      <c r="G521" s="94"/>
      <c r="H521" s="94"/>
      <c r="I521" s="94"/>
      <c r="J521" s="94"/>
      <c r="K521" s="94"/>
    </row>
    <row r="522" spans="3:11" x14ac:dyDescent="0.25">
      <c r="C522" s="94"/>
      <c r="D522" s="96"/>
      <c r="E522" s="98"/>
      <c r="F522" s="94"/>
      <c r="G522" s="94"/>
      <c r="H522" s="94"/>
      <c r="I522" s="94"/>
      <c r="J522" s="94"/>
      <c r="K522" s="94"/>
    </row>
    <row r="523" spans="3:11" x14ac:dyDescent="0.25">
      <c r="C523" s="94"/>
      <c r="D523" s="96"/>
      <c r="E523" s="98"/>
      <c r="F523" s="94"/>
      <c r="G523" s="94"/>
      <c r="H523" s="94"/>
      <c r="I523" s="94"/>
      <c r="J523" s="94"/>
      <c r="K523" s="94"/>
    </row>
    <row r="524" spans="3:11" x14ac:dyDescent="0.25">
      <c r="C524" s="94"/>
      <c r="D524" s="96"/>
      <c r="E524" s="98"/>
      <c r="F524" s="94"/>
      <c r="G524" s="94"/>
      <c r="H524" s="94"/>
      <c r="I524" s="94"/>
      <c r="J524" s="94"/>
      <c r="K524" s="94"/>
    </row>
    <row r="525" spans="3:11" x14ac:dyDescent="0.25">
      <c r="C525" s="94"/>
      <c r="D525" s="96"/>
      <c r="E525" s="98"/>
      <c r="F525" s="94"/>
      <c r="G525" s="94"/>
      <c r="H525" s="94"/>
      <c r="I525" s="94"/>
      <c r="J525" s="94"/>
      <c r="K525" s="94"/>
    </row>
    <row r="526" spans="3:11" x14ac:dyDescent="0.25">
      <c r="C526" s="94"/>
      <c r="D526" s="96"/>
      <c r="E526" s="98"/>
      <c r="F526" s="94"/>
      <c r="G526" s="94"/>
      <c r="H526" s="94"/>
      <c r="I526" s="94"/>
      <c r="J526" s="94"/>
      <c r="K526" s="94"/>
    </row>
    <row r="527" spans="3:11" x14ac:dyDescent="0.25">
      <c r="C527" s="94"/>
      <c r="D527" s="96"/>
      <c r="E527" s="98"/>
      <c r="F527" s="94"/>
      <c r="G527" s="94"/>
      <c r="H527" s="94"/>
      <c r="I527" s="94"/>
      <c r="J527" s="94"/>
      <c r="K527" s="94"/>
    </row>
    <row r="528" spans="3:11" x14ac:dyDescent="0.25">
      <c r="C528" s="94"/>
      <c r="D528" s="96"/>
      <c r="E528" s="98"/>
      <c r="F528" s="94"/>
      <c r="G528" s="94"/>
      <c r="H528" s="94"/>
      <c r="I528" s="94"/>
      <c r="J528" s="94"/>
      <c r="K528" s="94"/>
    </row>
    <row r="529" spans="3:11" x14ac:dyDescent="0.25">
      <c r="C529" s="94"/>
      <c r="D529" s="96"/>
      <c r="E529" s="98"/>
      <c r="F529" s="94"/>
      <c r="G529" s="94"/>
      <c r="H529" s="94"/>
      <c r="I529" s="94"/>
      <c r="J529" s="94"/>
      <c r="K529" s="94"/>
    </row>
    <row r="530" spans="3:11" x14ac:dyDescent="0.25">
      <c r="C530" s="94"/>
      <c r="D530" s="96"/>
      <c r="E530" s="98"/>
      <c r="F530" s="94"/>
      <c r="G530" s="94"/>
      <c r="H530" s="94"/>
      <c r="I530" s="94"/>
      <c r="J530" s="94"/>
      <c r="K530" s="94"/>
    </row>
    <row r="531" spans="3:11" x14ac:dyDescent="0.25">
      <c r="C531" s="94"/>
      <c r="D531" s="96"/>
      <c r="E531" s="98"/>
      <c r="F531" s="94"/>
      <c r="G531" s="94"/>
      <c r="H531" s="94"/>
      <c r="I531" s="94"/>
      <c r="J531" s="94"/>
      <c r="K531" s="94"/>
    </row>
    <row r="532" spans="3:11" x14ac:dyDescent="0.25">
      <c r="C532" s="94"/>
      <c r="D532" s="96"/>
      <c r="E532" s="98"/>
      <c r="F532" s="94"/>
      <c r="G532" s="94"/>
      <c r="H532" s="94"/>
      <c r="I532" s="94"/>
      <c r="J532" s="94"/>
      <c r="K532" s="94"/>
    </row>
    <row r="533" spans="3:11" x14ac:dyDescent="0.25">
      <c r="C533" s="94"/>
      <c r="D533" s="96"/>
      <c r="E533" s="98"/>
      <c r="F533" s="94"/>
      <c r="G533" s="94"/>
      <c r="H533" s="94"/>
      <c r="I533" s="94"/>
      <c r="J533" s="94"/>
      <c r="K533" s="94"/>
    </row>
    <row r="534" spans="3:11" x14ac:dyDescent="0.25">
      <c r="C534" s="94"/>
      <c r="D534" s="100"/>
      <c r="E534" s="98"/>
      <c r="F534" s="94"/>
      <c r="G534" s="94"/>
      <c r="H534" s="94"/>
      <c r="I534" s="94"/>
      <c r="J534" s="94"/>
      <c r="K534" s="94"/>
    </row>
    <row r="535" spans="3:11" x14ac:dyDescent="0.25">
      <c r="C535" s="94"/>
      <c r="D535" s="96"/>
      <c r="E535" s="98"/>
      <c r="F535" s="94"/>
      <c r="G535" s="94"/>
      <c r="H535" s="94"/>
      <c r="I535" s="94"/>
      <c r="J535" s="94"/>
      <c r="K535" s="94"/>
    </row>
    <row r="536" spans="3:11" x14ac:dyDescent="0.25">
      <c r="C536" s="94"/>
      <c r="D536" s="100"/>
      <c r="E536" s="98"/>
      <c r="F536" s="94"/>
      <c r="G536" s="94"/>
      <c r="H536" s="94"/>
      <c r="I536" s="94"/>
      <c r="J536" s="94"/>
      <c r="K536" s="94"/>
    </row>
    <row r="537" spans="3:11" x14ac:dyDescent="0.25">
      <c r="C537" s="94"/>
      <c r="D537" s="96"/>
      <c r="E537" s="98"/>
      <c r="F537" s="94"/>
      <c r="G537" s="94"/>
      <c r="H537" s="94"/>
      <c r="I537" s="94"/>
      <c r="J537" s="94"/>
      <c r="K537" s="94"/>
    </row>
    <row r="538" spans="3:11" x14ac:dyDescent="0.25">
      <c r="C538" s="94"/>
      <c r="D538" s="100"/>
      <c r="E538" s="98"/>
      <c r="F538" s="94"/>
      <c r="G538" s="94"/>
      <c r="H538" s="94"/>
      <c r="I538" s="94"/>
      <c r="J538" s="94"/>
      <c r="K538" s="94"/>
    </row>
    <row r="539" spans="3:11" x14ac:dyDescent="0.25">
      <c r="C539" s="94"/>
      <c r="D539" s="100"/>
      <c r="E539" s="98"/>
      <c r="F539" s="94"/>
      <c r="G539" s="94"/>
      <c r="H539" s="94"/>
      <c r="I539" s="94"/>
      <c r="J539" s="94"/>
      <c r="K539" s="94"/>
    </row>
    <row r="540" spans="3:11" x14ac:dyDescent="0.25">
      <c r="C540" s="94"/>
      <c r="D540" s="96"/>
      <c r="E540" s="98"/>
      <c r="F540" s="94"/>
      <c r="G540" s="94"/>
      <c r="H540" s="94"/>
      <c r="I540" s="94"/>
      <c r="J540" s="94"/>
      <c r="K540" s="94"/>
    </row>
    <row r="541" spans="3:11" x14ac:dyDescent="0.25">
      <c r="C541" s="94"/>
      <c r="D541" s="96"/>
      <c r="E541" s="98"/>
      <c r="F541" s="94"/>
      <c r="G541" s="94"/>
      <c r="H541" s="94"/>
      <c r="I541" s="94"/>
      <c r="J541" s="94"/>
      <c r="K541" s="94"/>
    </row>
    <row r="542" spans="3:11" x14ac:dyDescent="0.25">
      <c r="C542" s="94"/>
      <c r="D542" s="96"/>
      <c r="E542" s="98"/>
      <c r="F542" s="94"/>
      <c r="G542" s="94"/>
      <c r="H542" s="94"/>
      <c r="I542" s="94"/>
      <c r="J542" s="94"/>
      <c r="K542" s="94"/>
    </row>
    <row r="543" spans="3:11" x14ac:dyDescent="0.25">
      <c r="C543" s="94"/>
      <c r="D543" s="96"/>
      <c r="E543" s="98"/>
      <c r="F543" s="94"/>
      <c r="G543" s="94"/>
      <c r="H543" s="94"/>
      <c r="I543" s="94"/>
      <c r="J543" s="94"/>
      <c r="K543" s="94"/>
    </row>
    <row r="544" spans="3:11" x14ac:dyDescent="0.25">
      <c r="C544" s="94"/>
      <c r="D544" s="96"/>
      <c r="E544" s="98"/>
      <c r="F544" s="94"/>
      <c r="G544" s="94"/>
      <c r="H544" s="94"/>
      <c r="I544" s="94"/>
      <c r="J544" s="94"/>
      <c r="K544" s="94"/>
    </row>
    <row r="545" spans="3:11" x14ac:dyDescent="0.25">
      <c r="C545" s="94"/>
      <c r="D545" s="100"/>
      <c r="E545" s="98"/>
      <c r="F545" s="94"/>
      <c r="G545" s="94"/>
      <c r="H545" s="94"/>
      <c r="I545" s="94"/>
      <c r="J545" s="94"/>
      <c r="K545" s="94"/>
    </row>
    <row r="546" spans="3:11" x14ac:dyDescent="0.25">
      <c r="C546" s="94"/>
      <c r="D546" s="96"/>
      <c r="E546" s="98"/>
      <c r="F546" s="94"/>
      <c r="G546" s="94"/>
      <c r="H546" s="94"/>
      <c r="I546" s="94"/>
      <c r="J546" s="94"/>
      <c r="K546" s="94"/>
    </row>
    <row r="547" spans="3:11" x14ac:dyDescent="0.25">
      <c r="C547" s="94"/>
      <c r="D547" s="96"/>
      <c r="E547" s="98"/>
      <c r="F547" s="94"/>
      <c r="G547" s="94"/>
      <c r="H547" s="94"/>
      <c r="I547" s="94"/>
      <c r="J547" s="94"/>
      <c r="K547" s="94"/>
    </row>
    <row r="548" spans="3:11" x14ac:dyDescent="0.25">
      <c r="C548" s="94"/>
      <c r="D548" s="96"/>
      <c r="E548" s="98"/>
      <c r="F548" s="94"/>
      <c r="G548" s="94"/>
      <c r="H548" s="94"/>
      <c r="I548" s="94"/>
      <c r="J548" s="94"/>
      <c r="K548" s="94"/>
    </row>
    <row r="549" spans="3:11" x14ac:dyDescent="0.25">
      <c r="C549" s="94"/>
      <c r="D549" s="96"/>
      <c r="E549" s="98"/>
      <c r="F549" s="94"/>
      <c r="G549" s="94"/>
      <c r="H549" s="94"/>
      <c r="I549" s="94"/>
      <c r="J549" s="94"/>
      <c r="K549" s="94"/>
    </row>
    <row r="550" spans="3:11" x14ac:dyDescent="0.25">
      <c r="C550" s="94"/>
      <c r="D550" s="96"/>
      <c r="E550" s="98"/>
      <c r="F550" s="94"/>
      <c r="G550" s="94"/>
      <c r="H550" s="94"/>
      <c r="I550" s="94"/>
      <c r="J550" s="94"/>
      <c r="K550" s="94"/>
    </row>
    <row r="551" spans="3:11" x14ac:dyDescent="0.25">
      <c r="C551" s="94"/>
      <c r="D551" s="100"/>
      <c r="E551" s="98"/>
      <c r="F551" s="94"/>
      <c r="G551" s="94"/>
      <c r="H551" s="94"/>
      <c r="I551" s="94"/>
      <c r="J551" s="94"/>
      <c r="K551" s="94"/>
    </row>
    <row r="552" spans="3:11" x14ac:dyDescent="0.25">
      <c r="C552" s="94"/>
      <c r="D552" s="100"/>
      <c r="E552" s="98"/>
      <c r="F552" s="94"/>
      <c r="G552" s="94"/>
      <c r="H552" s="94"/>
      <c r="I552" s="94"/>
      <c r="J552" s="94"/>
      <c r="K552" s="94"/>
    </row>
    <row r="553" spans="3:11" x14ac:dyDescent="0.25">
      <c r="C553" s="94"/>
      <c r="D553" s="96"/>
      <c r="E553" s="98"/>
      <c r="F553" s="94"/>
      <c r="G553" s="94"/>
      <c r="H553" s="94"/>
      <c r="I553" s="94"/>
      <c r="J553" s="94"/>
      <c r="K553" s="94"/>
    </row>
    <row r="554" spans="3:11" x14ac:dyDescent="0.25">
      <c r="C554" s="94"/>
      <c r="D554" s="100"/>
      <c r="E554" s="98"/>
      <c r="F554" s="94"/>
      <c r="G554" s="94"/>
      <c r="H554" s="94"/>
      <c r="I554" s="94"/>
      <c r="J554" s="94"/>
      <c r="K554" s="94"/>
    </row>
    <row r="555" spans="3:11" x14ac:dyDescent="0.25">
      <c r="C555" s="94"/>
      <c r="D555" s="100"/>
      <c r="E555" s="98"/>
      <c r="F555" s="94"/>
      <c r="G555" s="94"/>
      <c r="H555" s="94"/>
      <c r="I555" s="94"/>
      <c r="J555" s="94"/>
      <c r="K555" s="94"/>
    </row>
    <row r="556" spans="3:11" x14ac:dyDescent="0.25">
      <c r="C556" s="94"/>
      <c r="D556" s="96"/>
      <c r="E556" s="98"/>
      <c r="F556" s="94"/>
      <c r="G556" s="94"/>
      <c r="H556" s="94"/>
      <c r="I556" s="94"/>
      <c r="J556" s="94"/>
      <c r="K556" s="94"/>
    </row>
    <row r="557" spans="3:11" x14ac:dyDescent="0.25">
      <c r="C557" s="94"/>
      <c r="D557" s="96"/>
      <c r="E557" s="98"/>
      <c r="F557" s="94"/>
      <c r="G557" s="94"/>
      <c r="H557" s="94"/>
      <c r="I557" s="94"/>
      <c r="J557" s="94"/>
      <c r="K557" s="94"/>
    </row>
    <row r="558" spans="3:11" x14ac:dyDescent="0.25">
      <c r="C558" s="94"/>
      <c r="D558" s="96"/>
      <c r="E558" s="98"/>
      <c r="F558" s="94"/>
      <c r="G558" s="94"/>
      <c r="H558" s="94"/>
      <c r="I558" s="94"/>
      <c r="J558" s="94"/>
      <c r="K558" s="94"/>
    </row>
    <row r="559" spans="3:11" x14ac:dyDescent="0.25">
      <c r="C559" s="96"/>
      <c r="D559" s="101"/>
      <c r="E559" s="98"/>
      <c r="F559" s="94"/>
      <c r="G559" s="94"/>
      <c r="H559" s="94"/>
      <c r="I559" s="94"/>
      <c r="J559" s="94"/>
      <c r="K559" s="94"/>
    </row>
    <row r="560" spans="3:11" x14ac:dyDescent="0.25">
      <c r="C560" s="96"/>
      <c r="D560" s="101"/>
      <c r="E560" s="98"/>
      <c r="F560" s="94"/>
      <c r="G560" s="94"/>
      <c r="H560" s="94"/>
      <c r="I560" s="94"/>
      <c r="J560" s="94"/>
      <c r="K560" s="94"/>
    </row>
    <row r="561" spans="3:11" x14ac:dyDescent="0.25">
      <c r="C561" s="96"/>
      <c r="D561" s="101"/>
      <c r="E561" s="98"/>
      <c r="F561" s="94"/>
      <c r="G561" s="94"/>
      <c r="H561" s="94"/>
      <c r="I561" s="94"/>
      <c r="J561" s="94"/>
      <c r="K561" s="94"/>
    </row>
    <row r="562" spans="3:11" x14ac:dyDescent="0.25">
      <c r="C562" s="96"/>
      <c r="D562" s="101"/>
      <c r="E562" s="98"/>
      <c r="F562" s="94"/>
      <c r="G562" s="94"/>
      <c r="H562" s="94"/>
      <c r="I562" s="94"/>
      <c r="J562" s="94"/>
      <c r="K562" s="94"/>
    </row>
    <row r="563" spans="3:11" x14ac:dyDescent="0.25">
      <c r="C563" s="96"/>
      <c r="D563" s="101"/>
      <c r="E563" s="98"/>
      <c r="F563" s="94"/>
      <c r="G563" s="94"/>
      <c r="H563" s="94"/>
      <c r="I563" s="94"/>
      <c r="J563" s="94"/>
      <c r="K563" s="94"/>
    </row>
    <row r="564" spans="3:11" x14ac:dyDescent="0.25">
      <c r="C564" s="102"/>
      <c r="D564" s="102"/>
      <c r="E564" s="103"/>
      <c r="F564" s="94"/>
      <c r="G564" s="94"/>
      <c r="H564" s="102"/>
      <c r="I564" s="94"/>
      <c r="J564" s="94"/>
      <c r="K564" s="94"/>
    </row>
    <row r="565" spans="3:11" x14ac:dyDescent="0.25">
      <c r="C565" s="102"/>
      <c r="D565" s="102"/>
      <c r="E565" s="103"/>
      <c r="F565" s="94"/>
      <c r="G565" s="94"/>
      <c r="H565" s="102"/>
      <c r="I565" s="94"/>
      <c r="J565" s="94"/>
      <c r="K565" s="94"/>
    </row>
    <row r="566" spans="3:11" x14ac:dyDescent="0.25">
      <c r="C566" s="102"/>
      <c r="D566" s="102"/>
      <c r="E566" s="103"/>
      <c r="F566" s="94"/>
      <c r="G566" s="94"/>
      <c r="H566" s="102"/>
      <c r="I566" s="94"/>
      <c r="J566" s="94"/>
      <c r="K566" s="94"/>
    </row>
    <row r="567" spans="3:11" x14ac:dyDescent="0.25">
      <c r="C567" s="102"/>
      <c r="D567" s="102"/>
      <c r="E567" s="103"/>
      <c r="F567" s="94"/>
      <c r="G567" s="94"/>
      <c r="H567" s="102"/>
      <c r="I567" s="94"/>
      <c r="J567" s="94"/>
      <c r="K567" s="94"/>
    </row>
    <row r="568" spans="3:11" x14ac:dyDescent="0.25">
      <c r="C568" s="102"/>
      <c r="D568" s="102"/>
      <c r="E568" s="103"/>
      <c r="F568" s="94"/>
      <c r="G568" s="94"/>
      <c r="H568" s="102"/>
      <c r="I568" s="94"/>
      <c r="J568" s="94"/>
      <c r="K568" s="94"/>
    </row>
    <row r="569" spans="3:11" x14ac:dyDescent="0.25">
      <c r="C569" s="102"/>
      <c r="D569" s="102"/>
      <c r="E569" s="103"/>
      <c r="F569" s="94"/>
      <c r="G569" s="94"/>
      <c r="H569" s="102"/>
      <c r="I569" s="94"/>
      <c r="J569" s="94"/>
      <c r="K569" s="94"/>
    </row>
    <row r="570" spans="3:11" x14ac:dyDescent="0.25">
      <c r="C570" s="102"/>
      <c r="D570" s="102"/>
      <c r="E570" s="103"/>
      <c r="F570" s="94"/>
      <c r="G570" s="94"/>
      <c r="H570" s="102"/>
      <c r="I570" s="94"/>
      <c r="J570" s="94"/>
      <c r="K570" s="94"/>
    </row>
    <row r="571" spans="3:11" x14ac:dyDescent="0.25">
      <c r="C571" s="102"/>
      <c r="D571" s="102"/>
      <c r="E571" s="103"/>
      <c r="F571" s="94"/>
      <c r="G571" s="94"/>
      <c r="H571" s="102"/>
      <c r="I571" s="94"/>
      <c r="J571" s="94"/>
      <c r="K571" s="94"/>
    </row>
    <row r="572" spans="3:11" x14ac:dyDescent="0.25">
      <c r="C572" s="102"/>
      <c r="D572" s="102"/>
      <c r="E572" s="103"/>
      <c r="F572" s="94"/>
      <c r="G572" s="94"/>
      <c r="H572" s="102"/>
      <c r="I572" s="94"/>
      <c r="J572" s="94"/>
      <c r="K572" s="94"/>
    </row>
    <row r="573" spans="3:11" x14ac:dyDescent="0.25">
      <c r="C573" s="102"/>
      <c r="D573" s="102"/>
      <c r="E573" s="103"/>
      <c r="F573" s="94"/>
      <c r="G573" s="94"/>
      <c r="H573" s="102"/>
      <c r="I573" s="94"/>
      <c r="J573" s="94"/>
      <c r="K573" s="94"/>
    </row>
    <row r="574" spans="3:11" x14ac:dyDescent="0.25">
      <c r="C574" s="102"/>
      <c r="D574" s="102"/>
      <c r="E574" s="103"/>
      <c r="F574" s="94"/>
      <c r="G574" s="94"/>
      <c r="H574" s="102"/>
      <c r="I574" s="94"/>
      <c r="J574" s="94"/>
      <c r="K574" s="94"/>
    </row>
    <row r="575" spans="3:11" x14ac:dyDescent="0.25">
      <c r="C575" s="102"/>
      <c r="D575" s="102"/>
      <c r="E575" s="103"/>
      <c r="F575" s="94"/>
      <c r="G575" s="94"/>
      <c r="H575" s="102"/>
      <c r="I575" s="94"/>
      <c r="J575" s="94"/>
      <c r="K575" s="94"/>
    </row>
    <row r="576" spans="3:11" x14ac:dyDescent="0.25">
      <c r="C576" s="102"/>
      <c r="D576" s="102"/>
      <c r="E576" s="103"/>
      <c r="F576" s="94"/>
      <c r="G576" s="94"/>
      <c r="H576" s="102"/>
      <c r="I576" s="94"/>
      <c r="J576" s="94"/>
      <c r="K576" s="94"/>
    </row>
    <row r="577" spans="3:11" x14ac:dyDescent="0.25">
      <c r="C577" s="104"/>
      <c r="D577" s="104"/>
      <c r="E577" s="105"/>
      <c r="F577" s="94"/>
      <c r="G577" s="94"/>
      <c r="H577" s="102"/>
      <c r="I577" s="94"/>
      <c r="J577" s="94"/>
      <c r="K577" s="94"/>
    </row>
    <row r="578" spans="3:11" x14ac:dyDescent="0.25">
      <c r="C578" s="104"/>
      <c r="D578" s="104"/>
      <c r="E578" s="105"/>
      <c r="F578" s="94"/>
      <c r="G578" s="94"/>
      <c r="H578" s="102"/>
      <c r="I578" s="94"/>
      <c r="J578" s="94"/>
      <c r="K578" s="94"/>
    </row>
    <row r="579" spans="3:11" x14ac:dyDescent="0.25">
      <c r="C579" s="104"/>
      <c r="D579" s="104"/>
      <c r="E579" s="105"/>
      <c r="F579" s="94"/>
      <c r="G579" s="94"/>
      <c r="H579" s="102"/>
      <c r="I579" s="94"/>
      <c r="J579" s="94"/>
      <c r="K579" s="94"/>
    </row>
    <row r="580" spans="3:11" x14ac:dyDescent="0.25">
      <c r="C580" s="104"/>
      <c r="D580" s="104"/>
      <c r="E580" s="105"/>
      <c r="F580" s="94"/>
      <c r="G580" s="94"/>
      <c r="H580" s="102"/>
      <c r="I580" s="94"/>
      <c r="J580" s="94"/>
      <c r="K580" s="94"/>
    </row>
    <row r="581" spans="3:11" x14ac:dyDescent="0.25">
      <c r="C581" s="104"/>
      <c r="D581" s="104"/>
      <c r="E581" s="105"/>
      <c r="F581" s="94"/>
      <c r="G581" s="94"/>
      <c r="H581" s="102"/>
      <c r="I581" s="94"/>
      <c r="J581" s="94"/>
      <c r="K581" s="94"/>
    </row>
    <row r="582" spans="3:11" x14ac:dyDescent="0.25">
      <c r="C582" s="104"/>
      <c r="D582" s="104"/>
      <c r="E582" s="105"/>
      <c r="F582" s="94"/>
      <c r="G582" s="94"/>
      <c r="H582" s="102"/>
      <c r="I582" s="94"/>
      <c r="J582" s="94"/>
      <c r="K582" s="94"/>
    </row>
    <row r="583" spans="3:11" x14ac:dyDescent="0.25">
      <c r="C583" s="104"/>
      <c r="D583" s="104"/>
      <c r="E583" s="105"/>
      <c r="F583" s="94"/>
      <c r="G583" s="94"/>
      <c r="H583" s="102"/>
      <c r="I583" s="94"/>
      <c r="J583" s="94"/>
      <c r="K583" s="94"/>
    </row>
    <row r="584" spans="3:11" x14ac:dyDescent="0.25">
      <c r="C584" s="104"/>
      <c r="D584" s="104"/>
      <c r="E584" s="105"/>
      <c r="F584" s="94"/>
      <c r="G584" s="94"/>
      <c r="H584" s="102"/>
      <c r="I584" s="94"/>
      <c r="J584" s="94"/>
      <c r="K584" s="94"/>
    </row>
    <row r="585" spans="3:11" x14ac:dyDescent="0.25">
      <c r="C585" s="104"/>
      <c r="D585" s="104"/>
      <c r="E585" s="105"/>
      <c r="F585" s="94"/>
      <c r="G585" s="94"/>
      <c r="H585" s="102"/>
      <c r="I585" s="94"/>
      <c r="J585" s="94"/>
      <c r="K585" s="94"/>
    </row>
    <row r="586" spans="3:11" x14ac:dyDescent="0.25">
      <c r="C586" s="104"/>
      <c r="D586" s="104"/>
      <c r="E586" s="105"/>
      <c r="F586" s="94"/>
      <c r="G586" s="94"/>
      <c r="H586" s="102"/>
      <c r="I586" s="94"/>
      <c r="J586" s="94"/>
      <c r="K586" s="94"/>
    </row>
    <row r="587" spans="3:11" x14ac:dyDescent="0.25">
      <c r="C587" s="104"/>
      <c r="D587" s="104"/>
      <c r="E587" s="105"/>
      <c r="F587" s="94"/>
      <c r="G587" s="94"/>
      <c r="H587" s="102"/>
      <c r="I587" s="94"/>
      <c r="J587" s="94"/>
      <c r="K587" s="94"/>
    </row>
    <row r="588" spans="3:11" x14ac:dyDescent="0.25">
      <c r="C588" s="104"/>
      <c r="D588" s="104"/>
      <c r="E588" s="105"/>
      <c r="F588" s="94"/>
      <c r="G588" s="94"/>
      <c r="H588" s="102"/>
      <c r="I588" s="94"/>
      <c r="J588" s="94"/>
      <c r="K588" s="94"/>
    </row>
    <row r="589" spans="3:11" x14ac:dyDescent="0.25">
      <c r="C589" s="104"/>
      <c r="D589" s="104"/>
      <c r="E589" s="105"/>
      <c r="F589" s="94"/>
      <c r="G589" s="94"/>
      <c r="H589" s="102"/>
      <c r="I589" s="94"/>
      <c r="J589" s="94"/>
      <c r="K589" s="94"/>
    </row>
    <row r="590" spans="3:11" x14ac:dyDescent="0.25">
      <c r="C590" s="104"/>
      <c r="D590" s="104"/>
      <c r="E590" s="105"/>
      <c r="F590" s="94"/>
      <c r="G590" s="94"/>
      <c r="H590" s="102"/>
      <c r="I590" s="94"/>
      <c r="J590" s="94"/>
      <c r="K590" s="94"/>
    </row>
    <row r="591" spans="3:11" x14ac:dyDescent="0.25">
      <c r="C591" s="104"/>
      <c r="D591" s="102"/>
      <c r="E591" s="105"/>
      <c r="F591" s="94"/>
      <c r="G591" s="94"/>
      <c r="H591" s="102"/>
      <c r="I591" s="94"/>
      <c r="J591" s="94"/>
      <c r="K591" s="94"/>
    </row>
    <row r="592" spans="3:11" x14ac:dyDescent="0.25">
      <c r="C592" s="102"/>
      <c r="D592" s="104"/>
      <c r="E592" s="103"/>
      <c r="F592" s="94"/>
      <c r="G592" s="94"/>
      <c r="H592" s="102"/>
      <c r="I592" s="94"/>
      <c r="J592" s="94"/>
      <c r="K592" s="94"/>
    </row>
    <row r="593" spans="3:11" x14ac:dyDescent="0.25">
      <c r="C593" s="102"/>
      <c r="D593" s="104"/>
      <c r="E593" s="103"/>
      <c r="F593" s="94"/>
      <c r="G593" s="94"/>
      <c r="H593" s="102"/>
      <c r="I593" s="94"/>
      <c r="J593" s="94"/>
      <c r="K593" s="94"/>
    </row>
    <row r="594" spans="3:11" x14ac:dyDescent="0.25">
      <c r="C594" s="102"/>
      <c r="D594" s="104"/>
      <c r="E594" s="103"/>
      <c r="F594" s="94"/>
      <c r="G594" s="94"/>
      <c r="H594" s="102"/>
      <c r="I594" s="94"/>
      <c r="J594" s="94"/>
      <c r="K594" s="94"/>
    </row>
    <row r="595" spans="3:11" x14ac:dyDescent="0.25">
      <c r="C595" s="102"/>
      <c r="D595" s="104"/>
      <c r="E595" s="103"/>
      <c r="F595" s="94"/>
      <c r="G595" s="94"/>
      <c r="H595" s="102"/>
      <c r="I595" s="94"/>
      <c r="J595" s="94"/>
      <c r="K595" s="94"/>
    </row>
    <row r="596" spans="3:11" x14ac:dyDescent="0.25">
      <c r="C596" s="102"/>
      <c r="D596" s="102"/>
      <c r="E596" s="103"/>
      <c r="F596" s="94"/>
      <c r="G596" s="94"/>
      <c r="H596" s="102"/>
      <c r="I596" s="94"/>
      <c r="J596" s="94"/>
      <c r="K596" s="94"/>
    </row>
    <row r="597" spans="3:11" x14ac:dyDescent="0.25">
      <c r="C597" s="102"/>
      <c r="D597" s="104"/>
      <c r="E597" s="103"/>
      <c r="F597" s="94"/>
      <c r="G597" s="94"/>
      <c r="H597" s="102"/>
      <c r="I597" s="94"/>
      <c r="J597" s="94"/>
      <c r="K597" s="94"/>
    </row>
    <row r="598" spans="3:11" x14ac:dyDescent="0.25">
      <c r="C598" s="102"/>
      <c r="D598" s="104"/>
      <c r="E598" s="103"/>
      <c r="F598" s="94"/>
      <c r="G598" s="94"/>
      <c r="H598" s="102"/>
      <c r="I598" s="94"/>
      <c r="J598" s="94"/>
      <c r="K598" s="94"/>
    </row>
    <row r="599" spans="3:11" x14ac:dyDescent="0.25">
      <c r="C599" s="102"/>
      <c r="D599" s="104"/>
      <c r="E599" s="103"/>
      <c r="F599" s="94"/>
      <c r="G599" s="94"/>
      <c r="H599" s="102"/>
      <c r="I599" s="94"/>
      <c r="J599" s="94"/>
      <c r="K599" s="94"/>
    </row>
    <row r="600" spans="3:11" x14ac:dyDescent="0.25">
      <c r="C600" s="102"/>
      <c r="D600" s="104"/>
      <c r="E600" s="103"/>
      <c r="F600" s="94"/>
      <c r="G600" s="94"/>
      <c r="H600" s="102"/>
      <c r="I600" s="94"/>
      <c r="J600" s="94"/>
      <c r="K600" s="94"/>
    </row>
    <row r="601" spans="3:11" x14ac:dyDescent="0.25">
      <c r="C601" s="102"/>
      <c r="D601" s="104"/>
      <c r="E601" s="103"/>
      <c r="F601" s="94"/>
      <c r="G601" s="94"/>
      <c r="H601" s="102"/>
      <c r="I601" s="94"/>
      <c r="J601" s="94"/>
      <c r="K601" s="94"/>
    </row>
    <row r="602" spans="3:11" x14ac:dyDescent="0.25">
      <c r="C602" s="102"/>
      <c r="D602" s="104"/>
      <c r="E602" s="103"/>
      <c r="F602" s="94"/>
      <c r="G602" s="94"/>
      <c r="H602" s="102"/>
      <c r="I602" s="94"/>
      <c r="J602" s="94"/>
      <c r="K602" s="94"/>
    </row>
    <row r="603" spans="3:11" x14ac:dyDescent="0.25">
      <c r="C603" s="102"/>
      <c r="D603" s="104"/>
      <c r="E603" s="103"/>
      <c r="F603" s="94"/>
      <c r="G603" s="94"/>
      <c r="H603" s="102"/>
      <c r="I603" s="94"/>
      <c r="J603" s="94"/>
      <c r="K603" s="94"/>
    </row>
    <row r="604" spans="3:11" x14ac:dyDescent="0.25">
      <c r="C604" s="102"/>
      <c r="D604" s="102"/>
      <c r="E604" s="103"/>
      <c r="F604" s="94"/>
      <c r="G604" s="94"/>
      <c r="H604" s="102"/>
      <c r="I604" s="94"/>
      <c r="J604" s="94"/>
      <c r="K604" s="94"/>
    </row>
    <row r="605" spans="3:11" x14ac:dyDescent="0.25">
      <c r="C605" s="102"/>
      <c r="D605" s="102"/>
      <c r="E605" s="103"/>
      <c r="F605" s="94"/>
      <c r="G605" s="94"/>
      <c r="H605" s="102"/>
      <c r="I605" s="94"/>
      <c r="J605" s="94"/>
      <c r="K605" s="94"/>
    </row>
    <row r="606" spans="3:11" x14ac:dyDescent="0.25">
      <c r="C606" s="102"/>
      <c r="D606" s="102"/>
      <c r="E606" s="98"/>
      <c r="F606" s="94"/>
      <c r="G606" s="94"/>
      <c r="H606" s="102"/>
      <c r="I606" s="94"/>
      <c r="J606" s="94"/>
      <c r="K606" s="94"/>
    </row>
    <row r="607" spans="3:11" x14ac:dyDescent="0.25">
      <c r="C607" s="102"/>
      <c r="D607" s="102"/>
      <c r="E607" s="98"/>
      <c r="F607" s="94"/>
      <c r="G607" s="94"/>
      <c r="H607" s="102"/>
      <c r="I607" s="94"/>
      <c r="J607" s="94"/>
      <c r="K607" s="94"/>
    </row>
    <row r="608" spans="3:11" x14ac:dyDescent="0.25">
      <c r="C608" s="102"/>
      <c r="D608" s="102"/>
      <c r="E608" s="98"/>
      <c r="F608" s="94"/>
      <c r="G608" s="94"/>
      <c r="H608" s="102"/>
      <c r="I608" s="94"/>
      <c r="J608" s="94"/>
      <c r="K608" s="94"/>
    </row>
    <row r="609" spans="3:11" x14ac:dyDescent="0.25">
      <c r="C609" s="102"/>
      <c r="D609" s="102"/>
      <c r="E609" s="98"/>
      <c r="F609" s="94"/>
      <c r="G609" s="94"/>
      <c r="H609" s="102"/>
      <c r="I609" s="94"/>
      <c r="J609" s="94"/>
      <c r="K609" s="94"/>
    </row>
    <row r="610" spans="3:11" x14ac:dyDescent="0.25">
      <c r="C610" s="102"/>
      <c r="D610" s="102"/>
      <c r="E610" s="98"/>
      <c r="F610" s="94"/>
      <c r="G610" s="94"/>
      <c r="H610" s="102"/>
      <c r="I610" s="94"/>
      <c r="J610" s="94"/>
      <c r="K610" s="94"/>
    </row>
    <row r="611" spans="3:11" x14ac:dyDescent="0.25">
      <c r="C611" s="102"/>
      <c r="D611" s="102"/>
      <c r="E611" s="98"/>
      <c r="F611" s="94"/>
      <c r="G611" s="94"/>
      <c r="H611" s="102"/>
      <c r="I611" s="94"/>
      <c r="J611" s="94"/>
      <c r="K611" s="94"/>
    </row>
    <row r="612" spans="3:11" x14ac:dyDescent="0.25">
      <c r="C612" s="102"/>
      <c r="D612" s="102"/>
      <c r="E612" s="98"/>
      <c r="F612" s="94"/>
      <c r="G612" s="94"/>
      <c r="H612" s="102"/>
      <c r="I612" s="94"/>
      <c r="J612" s="94"/>
      <c r="K612" s="94"/>
    </row>
    <row r="613" spans="3:11" x14ac:dyDescent="0.25">
      <c r="C613" s="102"/>
      <c r="D613" s="102"/>
      <c r="E613" s="98"/>
      <c r="F613" s="94"/>
      <c r="G613" s="94"/>
      <c r="H613" s="102"/>
      <c r="I613" s="94"/>
      <c r="J613" s="94"/>
      <c r="K613" s="94"/>
    </row>
    <row r="614" spans="3:11" x14ac:dyDescent="0.25">
      <c r="C614" s="102"/>
      <c r="D614" s="102"/>
      <c r="E614" s="98"/>
      <c r="F614" s="94"/>
      <c r="G614" s="94"/>
      <c r="H614" s="102"/>
      <c r="I614" s="94"/>
      <c r="J614" s="94"/>
      <c r="K614" s="94"/>
    </row>
    <row r="615" spans="3:11" x14ac:dyDescent="0.25">
      <c r="C615" s="102"/>
      <c r="D615" s="102"/>
      <c r="E615" s="98"/>
      <c r="F615" s="94"/>
      <c r="G615" s="94"/>
      <c r="H615" s="102"/>
      <c r="I615" s="94"/>
      <c r="J615" s="94"/>
      <c r="K615" s="94"/>
    </row>
    <row r="616" spans="3:11" x14ac:dyDescent="0.25">
      <c r="C616" s="102"/>
      <c r="D616" s="102"/>
      <c r="E616" s="98"/>
      <c r="F616" s="94"/>
      <c r="G616" s="94"/>
      <c r="H616" s="102"/>
      <c r="I616" s="94"/>
      <c r="J616" s="94"/>
      <c r="K616" s="94"/>
    </row>
    <row r="617" spans="3:11" x14ac:dyDescent="0.25">
      <c r="C617" s="102"/>
      <c r="D617" s="102"/>
      <c r="E617" s="98"/>
      <c r="F617" s="94"/>
      <c r="G617" s="94"/>
      <c r="H617" s="102"/>
      <c r="I617" s="94"/>
      <c r="J617" s="94"/>
      <c r="K617" s="94"/>
    </row>
    <row r="618" spans="3:11" x14ac:dyDescent="0.25">
      <c r="C618" s="102"/>
      <c r="D618" s="102"/>
      <c r="E618" s="103"/>
      <c r="F618" s="94"/>
      <c r="G618" s="94"/>
      <c r="H618" s="102"/>
      <c r="I618" s="94"/>
      <c r="J618" s="94"/>
      <c r="K618" s="94"/>
    </row>
    <row r="619" spans="3:11" x14ac:dyDescent="0.25">
      <c r="C619" s="102"/>
      <c r="D619" s="102"/>
      <c r="E619" s="98"/>
      <c r="F619" s="94"/>
      <c r="G619" s="94"/>
      <c r="H619" s="102"/>
      <c r="I619" s="94"/>
      <c r="J619" s="94"/>
      <c r="K619" s="94"/>
    </row>
    <row r="620" spans="3:11" x14ac:dyDescent="0.25">
      <c r="C620" s="102"/>
      <c r="D620" s="102"/>
      <c r="E620" s="103"/>
      <c r="F620" s="94"/>
      <c r="G620" s="94"/>
      <c r="H620" s="102"/>
      <c r="I620" s="94"/>
      <c r="J620" s="94"/>
      <c r="K620" s="94"/>
    </row>
    <row r="621" spans="3:11" x14ac:dyDescent="0.25">
      <c r="C621" s="102"/>
      <c r="D621" s="102"/>
      <c r="E621" s="98"/>
      <c r="F621" s="94"/>
      <c r="G621" s="94"/>
      <c r="H621" s="102"/>
      <c r="I621" s="94"/>
      <c r="J621" s="94"/>
      <c r="K621" s="94"/>
    </row>
    <row r="622" spans="3:11" x14ac:dyDescent="0.25">
      <c r="C622" s="104"/>
      <c r="D622" s="104"/>
      <c r="E622" s="98"/>
      <c r="F622" s="94"/>
      <c r="G622" s="94"/>
      <c r="H622" s="102"/>
      <c r="I622" s="94"/>
      <c r="J622" s="94"/>
      <c r="K622" s="94"/>
    </row>
    <row r="623" spans="3:11" x14ac:dyDescent="0.25">
      <c r="C623" s="102"/>
      <c r="D623" s="102"/>
      <c r="E623" s="103"/>
      <c r="F623" s="94"/>
      <c r="G623" s="94"/>
      <c r="H623" s="102"/>
      <c r="I623" s="94"/>
      <c r="J623" s="94"/>
      <c r="K623" s="94"/>
    </row>
    <row r="624" spans="3:11" x14ac:dyDescent="0.25">
      <c r="C624" s="102"/>
      <c r="D624" s="102"/>
      <c r="E624" s="103"/>
      <c r="F624" s="94"/>
      <c r="G624" s="94"/>
      <c r="H624" s="102"/>
      <c r="I624" s="94"/>
      <c r="J624" s="94"/>
      <c r="K624" s="94"/>
    </row>
    <row r="625" spans="3:11" x14ac:dyDescent="0.25">
      <c r="C625" s="102"/>
      <c r="D625" s="102"/>
      <c r="E625" s="103"/>
      <c r="F625" s="94"/>
      <c r="G625" s="94"/>
      <c r="H625" s="102"/>
      <c r="I625" s="94"/>
      <c r="J625" s="94"/>
      <c r="K625" s="94"/>
    </row>
    <row r="626" spans="3:11" x14ac:dyDescent="0.25">
      <c r="C626" s="104"/>
      <c r="D626" s="104"/>
      <c r="E626" s="98"/>
      <c r="F626" s="94"/>
      <c r="G626" s="94"/>
      <c r="H626" s="102"/>
      <c r="I626" s="94"/>
      <c r="J626" s="94"/>
      <c r="K626" s="94"/>
    </row>
    <row r="627" spans="3:11" x14ac:dyDescent="0.25">
      <c r="C627" s="104"/>
      <c r="D627" s="104"/>
      <c r="E627" s="98"/>
      <c r="F627" s="94"/>
      <c r="G627" s="94"/>
      <c r="H627" s="102"/>
      <c r="I627" s="94"/>
      <c r="J627" s="94"/>
      <c r="K627" s="94"/>
    </row>
    <row r="628" spans="3:11" x14ac:dyDescent="0.25">
      <c r="C628" s="104"/>
      <c r="D628" s="104"/>
      <c r="E628" s="98"/>
      <c r="F628" s="94"/>
      <c r="G628" s="94"/>
      <c r="H628" s="102"/>
      <c r="I628" s="94"/>
      <c r="J628" s="94"/>
      <c r="K628" s="94"/>
    </row>
    <row r="629" spans="3:11" x14ac:dyDescent="0.25">
      <c r="C629" s="104"/>
      <c r="D629" s="104"/>
      <c r="E629" s="98"/>
      <c r="F629" s="94"/>
      <c r="G629" s="94"/>
      <c r="H629" s="102"/>
      <c r="I629" s="94"/>
      <c r="J629" s="94"/>
      <c r="K629" s="94"/>
    </row>
    <row r="630" spans="3:11" x14ac:dyDescent="0.25">
      <c r="C630" s="104"/>
      <c r="D630" s="104"/>
      <c r="E630" s="98"/>
      <c r="F630" s="94"/>
      <c r="G630" s="94"/>
      <c r="H630" s="102"/>
      <c r="I630" s="94"/>
      <c r="J630" s="94"/>
      <c r="K630" s="94"/>
    </row>
    <row r="631" spans="3:11" x14ac:dyDescent="0.25">
      <c r="C631" s="102"/>
      <c r="D631" s="102"/>
      <c r="E631" s="103"/>
      <c r="F631" s="94"/>
      <c r="G631" s="94"/>
      <c r="H631" s="102"/>
      <c r="I631" s="94"/>
      <c r="J631" s="94"/>
      <c r="K631" s="94"/>
    </row>
    <row r="632" spans="3:11" x14ac:dyDescent="0.25">
      <c r="C632" s="102"/>
      <c r="D632" s="102"/>
      <c r="E632" s="103"/>
      <c r="F632" s="94"/>
      <c r="G632" s="94"/>
      <c r="H632" s="102"/>
      <c r="I632" s="94"/>
      <c r="J632" s="94"/>
      <c r="K632" s="94"/>
    </row>
    <row r="633" spans="3:11" x14ac:dyDescent="0.25">
      <c r="C633" s="102"/>
      <c r="D633" s="102"/>
      <c r="E633" s="103"/>
      <c r="F633" s="94"/>
      <c r="G633" s="94"/>
      <c r="H633" s="102"/>
      <c r="I633" s="94"/>
      <c r="J633" s="94"/>
      <c r="K633" s="94"/>
    </row>
    <row r="634" spans="3:11" x14ac:dyDescent="0.25">
      <c r="C634" s="102"/>
      <c r="D634" s="102"/>
      <c r="E634" s="103"/>
      <c r="F634" s="94"/>
      <c r="G634" s="94"/>
      <c r="H634" s="102"/>
      <c r="I634" s="94"/>
      <c r="J634" s="94"/>
      <c r="K634" s="94"/>
    </row>
    <row r="635" spans="3:11" x14ac:dyDescent="0.25">
      <c r="C635" s="94"/>
      <c r="D635" s="93"/>
      <c r="F635" s="35"/>
      <c r="G635" s="35"/>
      <c r="H635" s="35"/>
      <c r="I635" s="94"/>
      <c r="J635" s="94"/>
      <c r="K635" s="94"/>
    </row>
    <row r="636" spans="3:11" x14ac:dyDescent="0.25">
      <c r="D636" s="93"/>
      <c r="F636" s="35"/>
      <c r="G636" s="35"/>
      <c r="H636" s="35"/>
      <c r="I636" s="94"/>
      <c r="J636" s="94"/>
      <c r="K636" s="94"/>
    </row>
    <row r="637" spans="3:11" x14ac:dyDescent="0.25">
      <c r="D637" s="93"/>
      <c r="F637" s="35"/>
      <c r="G637" s="35"/>
      <c r="H637" s="35"/>
      <c r="I637" s="94"/>
      <c r="J637" s="94"/>
      <c r="K637" s="94"/>
    </row>
    <row r="638" spans="3:11" x14ac:dyDescent="0.25">
      <c r="D638" s="93"/>
      <c r="F638" s="35"/>
      <c r="G638" s="35"/>
      <c r="H638" s="35"/>
      <c r="I638" s="94"/>
      <c r="J638" s="94"/>
      <c r="K638" s="94"/>
    </row>
    <row r="639" spans="3:11" x14ac:dyDescent="0.25">
      <c r="D639" s="93"/>
      <c r="F639" s="35"/>
      <c r="G639" s="35"/>
      <c r="H639" s="35"/>
      <c r="I639" s="94"/>
      <c r="J639" s="94"/>
      <c r="K639" s="94"/>
    </row>
    <row r="640" spans="3:11" x14ac:dyDescent="0.25">
      <c r="D640" s="93"/>
      <c r="F640" s="35"/>
      <c r="G640" s="35"/>
      <c r="H640" s="35"/>
      <c r="I640" s="94"/>
      <c r="J640" s="94"/>
      <c r="K640" s="94"/>
    </row>
    <row r="641" spans="4:11" x14ac:dyDescent="0.25">
      <c r="D641" s="93"/>
      <c r="F641" s="35"/>
      <c r="G641" s="35"/>
      <c r="H641" s="35"/>
      <c r="I641" s="94"/>
      <c r="J641" s="94"/>
      <c r="K641" s="94"/>
    </row>
    <row r="642" spans="4:11" x14ac:dyDescent="0.25">
      <c r="D642" s="93"/>
      <c r="F642" s="35"/>
      <c r="G642" s="35"/>
      <c r="H642" s="35"/>
      <c r="I642" s="94"/>
      <c r="J642" s="94"/>
      <c r="K642" s="94"/>
    </row>
    <row r="643" spans="4:11" x14ac:dyDescent="0.25">
      <c r="D643" s="93"/>
      <c r="F643" s="35"/>
      <c r="G643" s="35"/>
      <c r="H643" s="35"/>
      <c r="I643" s="94"/>
      <c r="J643" s="94"/>
      <c r="K643" s="94"/>
    </row>
    <row r="644" spans="4:11" x14ac:dyDescent="0.25">
      <c r="D644" s="93"/>
      <c r="F644" s="35"/>
      <c r="G644" s="35"/>
      <c r="H644" s="35"/>
      <c r="I644" s="94"/>
      <c r="J644" s="94"/>
      <c r="K644" s="94"/>
    </row>
    <row r="645" spans="4:11" x14ac:dyDescent="0.25">
      <c r="D645" s="93"/>
      <c r="F645" s="35"/>
      <c r="G645" s="35"/>
      <c r="H645" s="35"/>
      <c r="I645" s="94"/>
      <c r="J645" s="94"/>
      <c r="K645" s="94"/>
    </row>
    <row r="646" spans="4:11" x14ac:dyDescent="0.25">
      <c r="D646" s="93"/>
      <c r="F646" s="35"/>
      <c r="G646" s="35"/>
      <c r="H646" s="35"/>
      <c r="I646" s="94"/>
      <c r="J646" s="94"/>
      <c r="K646" s="94"/>
    </row>
    <row r="647" spans="4:11" x14ac:dyDescent="0.25">
      <c r="D647" s="93"/>
      <c r="F647" s="35"/>
      <c r="G647" s="35"/>
      <c r="H647" s="35"/>
      <c r="I647" s="94"/>
      <c r="J647" s="94"/>
      <c r="K647" s="94"/>
    </row>
    <row r="648" spans="4:11" x14ac:dyDescent="0.25">
      <c r="D648" s="93"/>
      <c r="F648" s="35"/>
      <c r="G648" s="35"/>
      <c r="H648" s="35"/>
      <c r="I648" s="94"/>
      <c r="J648" s="94"/>
      <c r="K648" s="94"/>
    </row>
    <row r="649" spans="4:11" x14ac:dyDescent="0.25">
      <c r="D649" s="93"/>
      <c r="F649" s="35"/>
      <c r="G649" s="35"/>
      <c r="H649" s="35"/>
      <c r="I649" s="94"/>
      <c r="J649" s="94"/>
      <c r="K649" s="94"/>
    </row>
    <row r="650" spans="4:11" x14ac:dyDescent="0.25">
      <c r="D650" s="93"/>
      <c r="F650" s="35"/>
      <c r="G650" s="35"/>
      <c r="H650" s="35"/>
      <c r="I650" s="94"/>
      <c r="J650" s="94"/>
      <c r="K650" s="94"/>
    </row>
    <row r="651" spans="4:11" x14ac:dyDescent="0.25">
      <c r="D651" s="93"/>
      <c r="F651" s="35"/>
      <c r="G651" s="35"/>
      <c r="H651" s="35"/>
      <c r="I651" s="94"/>
      <c r="J651" s="94"/>
      <c r="K651" s="94"/>
    </row>
    <row r="652" spans="4:11" x14ac:dyDescent="0.25">
      <c r="D652" s="93"/>
      <c r="F652" s="35"/>
      <c r="G652" s="35"/>
      <c r="H652" s="35"/>
      <c r="I652" s="94"/>
      <c r="J652" s="94"/>
      <c r="K652" s="94"/>
    </row>
    <row r="653" spans="4:11" x14ac:dyDescent="0.25">
      <c r="D653" s="93"/>
      <c r="F653" s="35"/>
      <c r="G653" s="35"/>
      <c r="H653" s="35"/>
      <c r="I653" s="94"/>
      <c r="J653" s="94"/>
      <c r="K653" s="94"/>
    </row>
    <row r="654" spans="4:11" x14ac:dyDescent="0.25">
      <c r="D654" s="93"/>
      <c r="F654" s="35"/>
      <c r="G654" s="35"/>
      <c r="H654" s="35"/>
      <c r="I654" s="94"/>
      <c r="J654" s="94"/>
      <c r="K654" s="94"/>
    </row>
    <row r="655" spans="4:11" x14ac:dyDescent="0.25">
      <c r="D655" s="93"/>
      <c r="F655" s="35"/>
      <c r="G655" s="35"/>
      <c r="H655" s="35"/>
      <c r="I655" s="94"/>
      <c r="J655" s="94"/>
      <c r="K655" s="94"/>
    </row>
    <row r="656" spans="4:11" x14ac:dyDescent="0.25">
      <c r="D656" s="93"/>
      <c r="F656" s="35"/>
      <c r="G656" s="35"/>
      <c r="H656" s="35"/>
      <c r="I656" s="94"/>
      <c r="J656" s="94"/>
      <c r="K656" s="94"/>
    </row>
    <row r="657" spans="4:11" x14ac:dyDescent="0.25">
      <c r="D657" s="93"/>
      <c r="F657" s="35"/>
      <c r="G657" s="35"/>
      <c r="H657" s="35"/>
      <c r="I657" s="94"/>
      <c r="J657" s="94"/>
      <c r="K657" s="94"/>
    </row>
    <row r="658" spans="4:11" x14ac:dyDescent="0.25">
      <c r="D658" s="93"/>
      <c r="F658" s="35"/>
      <c r="G658" s="35"/>
      <c r="H658" s="35"/>
      <c r="I658" s="94"/>
      <c r="J658" s="94"/>
      <c r="K658" s="94"/>
    </row>
    <row r="659" spans="4:11" x14ac:dyDescent="0.25">
      <c r="D659" s="93"/>
      <c r="F659" s="35"/>
      <c r="G659" s="35"/>
      <c r="H659" s="35"/>
      <c r="I659" s="94"/>
      <c r="J659" s="94"/>
      <c r="K659" s="94"/>
    </row>
    <row r="660" spans="4:11" x14ac:dyDescent="0.25">
      <c r="D660" s="93"/>
      <c r="F660" s="35"/>
      <c r="G660" s="35"/>
      <c r="H660" s="35"/>
      <c r="I660" s="94"/>
      <c r="J660" s="94"/>
      <c r="K660" s="94"/>
    </row>
    <row r="661" spans="4:11" x14ac:dyDescent="0.25">
      <c r="D661" s="93"/>
      <c r="F661" s="35"/>
      <c r="G661" s="35"/>
      <c r="H661" s="35"/>
      <c r="I661" s="94"/>
      <c r="J661" s="94"/>
      <c r="K661" s="94"/>
    </row>
    <row r="662" spans="4:11" x14ac:dyDescent="0.25">
      <c r="D662" s="93"/>
      <c r="F662" s="35"/>
      <c r="G662" s="35"/>
      <c r="H662" s="35"/>
      <c r="I662" s="94"/>
      <c r="J662" s="94"/>
      <c r="K662" s="94"/>
    </row>
    <row r="663" spans="4:11" x14ac:dyDescent="0.25">
      <c r="D663" s="93"/>
      <c r="F663" s="35"/>
      <c r="G663" s="35"/>
      <c r="H663" s="35"/>
      <c r="I663" s="94"/>
      <c r="J663" s="94"/>
      <c r="K663" s="94"/>
    </row>
    <row r="664" spans="4:11" x14ac:dyDescent="0.25">
      <c r="D664" s="93"/>
      <c r="F664" s="35"/>
      <c r="G664" s="35"/>
      <c r="H664" s="35"/>
      <c r="I664" s="94"/>
      <c r="J664" s="94"/>
      <c r="K664" s="94"/>
    </row>
    <row r="665" spans="4:11" x14ac:dyDescent="0.25">
      <c r="D665" s="93"/>
      <c r="F665" s="35"/>
      <c r="G665" s="35"/>
      <c r="H665" s="35"/>
      <c r="I665" s="94"/>
      <c r="J665" s="94"/>
      <c r="K665" s="94"/>
    </row>
    <row r="666" spans="4:11" x14ac:dyDescent="0.25">
      <c r="D666" s="93"/>
      <c r="F666" s="35"/>
      <c r="G666" s="35"/>
      <c r="H666" s="35"/>
      <c r="I666" s="94"/>
      <c r="J666" s="94"/>
      <c r="K666" s="94"/>
    </row>
    <row r="667" spans="4:11" x14ac:dyDescent="0.25">
      <c r="D667" s="93"/>
      <c r="F667" s="35"/>
      <c r="G667" s="35"/>
      <c r="H667" s="35"/>
      <c r="I667" s="94"/>
      <c r="J667" s="94"/>
      <c r="K667" s="94"/>
    </row>
    <row r="668" spans="4:11" x14ac:dyDescent="0.25">
      <c r="D668" s="93"/>
      <c r="F668" s="35"/>
      <c r="G668" s="35"/>
      <c r="H668" s="35"/>
      <c r="I668" s="94"/>
      <c r="J668" s="94"/>
      <c r="K668" s="94"/>
    </row>
    <row r="669" spans="4:11" x14ac:dyDescent="0.25">
      <c r="D669" s="93"/>
      <c r="F669" s="35"/>
      <c r="G669" s="35"/>
      <c r="H669" s="35"/>
      <c r="I669" s="94"/>
      <c r="J669" s="94"/>
      <c r="K669" s="94"/>
    </row>
    <row r="670" spans="4:11" x14ac:dyDescent="0.25">
      <c r="D670" s="93"/>
      <c r="F670" s="35"/>
      <c r="G670" s="35"/>
      <c r="H670" s="35"/>
      <c r="I670" s="94"/>
      <c r="J670" s="94"/>
      <c r="K670" s="94"/>
    </row>
    <row r="671" spans="4:11" x14ac:dyDescent="0.25">
      <c r="D671" s="93"/>
      <c r="F671" s="35"/>
      <c r="G671" s="35"/>
      <c r="H671" s="35"/>
      <c r="I671" s="94"/>
      <c r="J671" s="94"/>
      <c r="K671" s="94"/>
    </row>
    <row r="672" spans="4:11" x14ac:dyDescent="0.25">
      <c r="D672" s="93"/>
      <c r="F672" s="35"/>
      <c r="G672" s="35"/>
      <c r="H672" s="35"/>
      <c r="I672" s="94"/>
      <c r="J672" s="94"/>
      <c r="K672" s="94"/>
    </row>
    <row r="673" spans="4:11" x14ac:dyDescent="0.25">
      <c r="D673" s="93"/>
      <c r="F673" s="35"/>
      <c r="G673" s="35"/>
      <c r="H673" s="35"/>
      <c r="I673" s="94"/>
      <c r="J673" s="94"/>
      <c r="K673" s="94"/>
    </row>
    <row r="674" spans="4:11" x14ac:dyDescent="0.25">
      <c r="D674" s="93"/>
      <c r="F674" s="35"/>
      <c r="G674" s="35"/>
      <c r="H674" s="35"/>
      <c r="I674" s="94"/>
      <c r="J674" s="94"/>
      <c r="K674" s="94"/>
    </row>
    <row r="675" spans="4:11" x14ac:dyDescent="0.25">
      <c r="D675" s="93"/>
      <c r="F675" s="35"/>
      <c r="G675" s="35"/>
      <c r="H675" s="35"/>
      <c r="I675" s="94"/>
      <c r="J675" s="94"/>
      <c r="K675" s="94"/>
    </row>
    <row r="676" spans="4:11" x14ac:dyDescent="0.25">
      <c r="D676" s="93"/>
      <c r="F676" s="35"/>
      <c r="G676" s="35"/>
      <c r="H676" s="35"/>
      <c r="I676" s="94"/>
      <c r="J676" s="94"/>
      <c r="K676" s="94"/>
    </row>
    <row r="677" spans="4:11" x14ac:dyDescent="0.25">
      <c r="D677" s="93"/>
      <c r="F677" s="35"/>
      <c r="G677" s="35"/>
      <c r="H677" s="35"/>
      <c r="I677" s="94"/>
      <c r="J677" s="94"/>
      <c r="K677" s="94"/>
    </row>
    <row r="678" spans="4:11" x14ac:dyDescent="0.25">
      <c r="D678" s="93"/>
      <c r="F678" s="35"/>
      <c r="G678" s="35"/>
      <c r="H678" s="35"/>
      <c r="I678" s="94"/>
      <c r="J678" s="94"/>
      <c r="K678" s="94"/>
    </row>
    <row r="679" spans="4:11" x14ac:dyDescent="0.25">
      <c r="D679" s="93"/>
      <c r="F679" s="35"/>
      <c r="G679" s="35"/>
      <c r="H679" s="35"/>
      <c r="I679" s="94"/>
      <c r="J679" s="94"/>
      <c r="K679" s="94"/>
    </row>
    <row r="680" spans="4:11" x14ac:dyDescent="0.25">
      <c r="D680" s="93"/>
      <c r="F680" s="35"/>
      <c r="G680" s="35"/>
      <c r="H680" s="35"/>
      <c r="I680" s="94"/>
      <c r="J680" s="94"/>
      <c r="K680" s="94"/>
    </row>
    <row r="681" spans="4:11" x14ac:dyDescent="0.25">
      <c r="D681" s="93"/>
      <c r="F681" s="35"/>
      <c r="G681" s="35"/>
      <c r="H681" s="35"/>
      <c r="I681" s="94"/>
      <c r="J681" s="94"/>
      <c r="K681" s="94"/>
    </row>
    <row r="682" spans="4:11" x14ac:dyDescent="0.25">
      <c r="D682" s="93"/>
      <c r="F682" s="35"/>
      <c r="G682" s="35"/>
      <c r="H682" s="35"/>
      <c r="I682" s="94"/>
      <c r="J682" s="94"/>
      <c r="K682" s="94"/>
    </row>
    <row r="683" spans="4:11" x14ac:dyDescent="0.25">
      <c r="D683" s="93"/>
      <c r="F683" s="35"/>
      <c r="G683" s="35"/>
      <c r="H683" s="35"/>
      <c r="I683" s="94"/>
      <c r="J683" s="94"/>
      <c r="K683" s="94"/>
    </row>
    <row r="684" spans="4:11" x14ac:dyDescent="0.25">
      <c r="D684" s="93"/>
      <c r="F684" s="35"/>
      <c r="G684" s="35"/>
      <c r="H684" s="35"/>
      <c r="I684" s="94"/>
      <c r="J684" s="94"/>
      <c r="K684" s="94"/>
    </row>
    <row r="685" spans="4:11" x14ac:dyDescent="0.25">
      <c r="D685" s="93"/>
      <c r="F685" s="35"/>
      <c r="G685" s="35"/>
      <c r="H685" s="35"/>
      <c r="I685" s="94"/>
      <c r="J685" s="94"/>
      <c r="K685" s="94"/>
    </row>
    <row r="686" spans="4:11" x14ac:dyDescent="0.25">
      <c r="D686" s="93"/>
      <c r="F686" s="35"/>
      <c r="G686" s="35"/>
      <c r="H686" s="35"/>
      <c r="I686" s="94"/>
      <c r="J686" s="94"/>
      <c r="K686" s="94"/>
    </row>
    <row r="687" spans="4:11" x14ac:dyDescent="0.25">
      <c r="D687" s="93"/>
      <c r="F687" s="35"/>
      <c r="G687" s="35"/>
      <c r="H687" s="93"/>
    </row>
    <row r="688" spans="4:11" x14ac:dyDescent="0.25">
      <c r="D688" s="93"/>
      <c r="F688" s="35"/>
      <c r="G688" s="35"/>
      <c r="H688" s="93"/>
    </row>
    <row r="689" spans="4:8" x14ac:dyDescent="0.25">
      <c r="D689" s="93"/>
      <c r="F689" s="35"/>
      <c r="G689" s="35"/>
      <c r="H689" s="93"/>
    </row>
    <row r="690" spans="4:8" x14ac:dyDescent="0.25">
      <c r="D690" s="22"/>
      <c r="F690" s="95"/>
    </row>
    <row r="691" spans="4:8" x14ac:dyDescent="0.25">
      <c r="D691" s="22"/>
      <c r="F691" s="95"/>
    </row>
    <row r="692" spans="4:8" x14ac:dyDescent="0.25">
      <c r="D692" s="22"/>
      <c r="F692" s="95"/>
    </row>
    <row r="693" spans="4:8" x14ac:dyDescent="0.25">
      <c r="D693" s="22"/>
      <c r="F693" s="95"/>
    </row>
    <row r="694" spans="4:8" x14ac:dyDescent="0.25">
      <c r="D694" s="22"/>
      <c r="F694" s="95"/>
    </row>
    <row r="695" spans="4:8" x14ac:dyDescent="0.25">
      <c r="D695" s="22"/>
      <c r="F695" s="95"/>
    </row>
    <row r="696" spans="4:8" x14ac:dyDescent="0.25">
      <c r="D696" s="22"/>
      <c r="F696" s="95"/>
    </row>
    <row r="697" spans="4:8" x14ac:dyDescent="0.25">
      <c r="D697" s="22"/>
      <c r="F697" s="95"/>
    </row>
    <row r="698" spans="4:8" x14ac:dyDescent="0.25">
      <c r="D698" s="22"/>
      <c r="F698" s="95"/>
    </row>
    <row r="699" spans="4:8" x14ac:dyDescent="0.25">
      <c r="D699" s="22"/>
      <c r="F699" s="95"/>
    </row>
    <row r="700" spans="4:8" x14ac:dyDescent="0.25">
      <c r="D700" s="22"/>
      <c r="F700" s="95"/>
    </row>
    <row r="701" spans="4:8" x14ac:dyDescent="0.25">
      <c r="D701" s="22"/>
      <c r="F701" s="95"/>
    </row>
    <row r="702" spans="4:8" x14ac:dyDescent="0.25">
      <c r="D702" s="22"/>
      <c r="F702" s="95"/>
    </row>
    <row r="703" spans="4:8" x14ac:dyDescent="0.25">
      <c r="D703" s="22"/>
      <c r="F703" s="95"/>
    </row>
    <row r="704" spans="4:8" x14ac:dyDescent="0.25">
      <c r="D704" s="22"/>
      <c r="F704" s="95"/>
    </row>
    <row r="705" spans="3:8" x14ac:dyDescent="0.25">
      <c r="D705" s="22"/>
      <c r="F705" s="95"/>
    </row>
    <row r="706" spans="3:8" x14ac:dyDescent="0.25">
      <c r="D706" s="22"/>
      <c r="F706" s="95"/>
    </row>
    <row r="707" spans="3:8" x14ac:dyDescent="0.25">
      <c r="D707" s="22"/>
      <c r="F707" s="95"/>
    </row>
    <row r="708" spans="3:8" x14ac:dyDescent="0.25">
      <c r="D708" s="22"/>
      <c r="F708" s="95"/>
    </row>
    <row r="709" spans="3:8" x14ac:dyDescent="0.25">
      <c r="D709" s="22"/>
      <c r="F709" s="95"/>
    </row>
    <row r="710" spans="3:8" x14ac:dyDescent="0.25">
      <c r="D710" s="22"/>
      <c r="F710" s="95"/>
    </row>
    <row r="711" spans="3:8" x14ac:dyDescent="0.25">
      <c r="D711" s="22"/>
      <c r="F711" s="95"/>
    </row>
    <row r="712" spans="3:8" x14ac:dyDescent="0.25">
      <c r="D712" s="22"/>
      <c r="F712" s="95"/>
    </row>
    <row r="713" spans="3:8" x14ac:dyDescent="0.25">
      <c r="D713" s="22"/>
      <c r="F713" s="95"/>
    </row>
    <row r="714" spans="3:8" x14ac:dyDescent="0.25">
      <c r="C714" s="96"/>
      <c r="D714" s="106"/>
      <c r="E714" s="106"/>
      <c r="F714" s="107"/>
      <c r="H714" s="108"/>
    </row>
    <row r="715" spans="3:8" x14ac:dyDescent="0.25">
      <c r="C715" s="96"/>
      <c r="D715" s="106"/>
      <c r="E715" s="106"/>
      <c r="F715" s="107"/>
      <c r="H715" s="108"/>
    </row>
    <row r="716" spans="3:8" x14ac:dyDescent="0.25">
      <c r="C716" s="96"/>
      <c r="D716" s="106"/>
      <c r="E716" s="106"/>
      <c r="F716" s="107"/>
      <c r="H716" s="108"/>
    </row>
    <row r="717" spans="3:8" x14ac:dyDescent="0.25">
      <c r="C717" s="96"/>
      <c r="D717" s="106"/>
      <c r="E717" s="106"/>
      <c r="F717" s="107"/>
      <c r="H717" s="108"/>
    </row>
    <row r="718" spans="3:8" x14ac:dyDescent="0.25">
      <c r="C718" s="96"/>
      <c r="D718" s="106"/>
      <c r="E718" s="106"/>
      <c r="F718" s="107"/>
      <c r="H718" s="108"/>
    </row>
    <row r="719" spans="3:8" x14ac:dyDescent="0.25">
      <c r="C719" s="96"/>
      <c r="D719" s="106"/>
      <c r="E719" s="106"/>
      <c r="F719" s="107"/>
      <c r="H719" s="108"/>
    </row>
    <row r="720" spans="3:8" x14ac:dyDescent="0.25">
      <c r="C720" s="96"/>
      <c r="D720" s="106"/>
      <c r="E720" s="106"/>
      <c r="F720" s="107"/>
      <c r="H720" s="108"/>
    </row>
    <row r="721" spans="3:8" x14ac:dyDescent="0.25">
      <c r="C721" s="96"/>
      <c r="D721" s="106"/>
      <c r="E721" s="106"/>
      <c r="F721" s="107"/>
      <c r="H721" s="108"/>
    </row>
    <row r="722" spans="3:8" x14ac:dyDescent="0.25">
      <c r="C722" s="96"/>
      <c r="D722" s="106"/>
      <c r="E722" s="106"/>
      <c r="F722" s="107"/>
      <c r="H722" s="108"/>
    </row>
    <row r="723" spans="3:8" x14ac:dyDescent="0.25">
      <c r="C723" s="96"/>
      <c r="D723" s="106"/>
      <c r="E723" s="106"/>
      <c r="F723" s="107"/>
      <c r="H723" s="108"/>
    </row>
    <row r="724" spans="3:8" x14ac:dyDescent="0.25">
      <c r="C724" s="96"/>
      <c r="D724" s="106"/>
      <c r="E724" s="106"/>
      <c r="F724" s="107"/>
      <c r="H724" s="108"/>
    </row>
    <row r="725" spans="3:8" x14ac:dyDescent="0.25">
      <c r="C725" s="96"/>
      <c r="D725" s="106"/>
      <c r="E725" s="106"/>
      <c r="F725" s="107"/>
      <c r="H725" s="108"/>
    </row>
    <row r="726" spans="3:8" x14ac:dyDescent="0.25">
      <c r="C726" s="96"/>
      <c r="D726" s="106"/>
      <c r="E726" s="106"/>
      <c r="F726" s="107"/>
      <c r="H726" s="108"/>
    </row>
    <row r="727" spans="3:8" x14ac:dyDescent="0.25">
      <c r="C727" s="96"/>
      <c r="D727" s="106"/>
      <c r="E727" s="106"/>
      <c r="F727" s="107"/>
      <c r="H727" s="108"/>
    </row>
    <row r="728" spans="3:8" x14ac:dyDescent="0.25">
      <c r="C728" s="96"/>
      <c r="D728" s="106"/>
      <c r="E728" s="106"/>
      <c r="F728" s="107"/>
      <c r="H728" s="108"/>
    </row>
    <row r="729" spans="3:8" x14ac:dyDescent="0.25">
      <c r="C729" s="96"/>
      <c r="D729" s="106"/>
      <c r="E729" s="106"/>
      <c r="F729" s="107"/>
      <c r="H729" s="108"/>
    </row>
    <row r="730" spans="3:8" x14ac:dyDescent="0.25">
      <c r="C730" s="96"/>
      <c r="D730" s="106"/>
      <c r="E730" s="106"/>
      <c r="F730" s="107"/>
      <c r="H730" s="108"/>
    </row>
    <row r="731" spans="3:8" x14ac:dyDescent="0.25">
      <c r="C731" s="96"/>
      <c r="D731" s="106"/>
      <c r="E731" s="106"/>
      <c r="F731" s="107"/>
      <c r="H731" s="108"/>
    </row>
    <row r="732" spans="3:8" x14ac:dyDescent="0.25">
      <c r="C732" s="96"/>
      <c r="D732" s="106"/>
      <c r="E732" s="106"/>
      <c r="F732" s="107"/>
      <c r="H732" s="108"/>
    </row>
    <row r="733" spans="3:8" x14ac:dyDescent="0.25">
      <c r="C733" s="96"/>
      <c r="D733" s="106"/>
      <c r="E733" s="106"/>
      <c r="F733" s="107"/>
      <c r="H733" s="108"/>
    </row>
    <row r="734" spans="3:8" x14ac:dyDescent="0.25">
      <c r="C734" s="96"/>
      <c r="D734" s="106"/>
      <c r="E734" s="106"/>
      <c r="F734" s="107"/>
      <c r="H734" s="108"/>
    </row>
    <row r="735" spans="3:8" x14ac:dyDescent="0.25">
      <c r="C735" s="96"/>
      <c r="D735" s="109"/>
      <c r="E735" s="109"/>
      <c r="F735" s="110"/>
      <c r="H735" s="108"/>
    </row>
    <row r="736" spans="3:8" x14ac:dyDescent="0.25">
      <c r="C736" s="96"/>
      <c r="D736" s="109"/>
      <c r="E736" s="109"/>
      <c r="F736" s="110"/>
      <c r="H736" s="108"/>
    </row>
    <row r="737" spans="3:11" x14ac:dyDescent="0.25">
      <c r="C737" s="96"/>
      <c r="D737" s="109"/>
      <c r="E737" s="109"/>
      <c r="F737" s="110"/>
      <c r="H737" s="108"/>
    </row>
    <row r="738" spans="3:11" x14ac:dyDescent="0.25">
      <c r="C738" s="96"/>
      <c r="D738" s="109"/>
      <c r="E738" s="109"/>
      <c r="F738" s="110"/>
      <c r="H738" s="108"/>
    </row>
    <row r="739" spans="3:11" x14ac:dyDescent="0.25">
      <c r="C739" s="96"/>
      <c r="D739" s="109"/>
      <c r="E739" s="109"/>
      <c r="F739" s="110"/>
      <c r="H739" s="108"/>
    </row>
    <row r="740" spans="3:11" x14ac:dyDescent="0.25">
      <c r="C740" s="96"/>
      <c r="D740" s="109"/>
      <c r="E740" s="109"/>
      <c r="F740" s="110"/>
      <c r="H740" s="108"/>
    </row>
    <row r="741" spans="3:11" x14ac:dyDescent="0.25">
      <c r="C741" s="96"/>
      <c r="D741" s="109"/>
      <c r="E741" s="109"/>
      <c r="F741" s="110"/>
      <c r="H741" s="108"/>
    </row>
    <row r="742" spans="3:11" x14ac:dyDescent="0.25">
      <c r="C742" s="96"/>
      <c r="D742" s="109"/>
      <c r="E742" s="109"/>
      <c r="F742" s="110"/>
      <c r="H742" s="108"/>
    </row>
    <row r="743" spans="3:11" x14ac:dyDescent="0.25">
      <c r="C743" s="111"/>
      <c r="D743" s="112"/>
      <c r="E743" s="112"/>
      <c r="F743" s="113"/>
      <c r="G743" s="114"/>
      <c r="H743" s="115"/>
      <c r="I743" s="114"/>
      <c r="J743" s="114"/>
      <c r="K743" s="114"/>
    </row>
    <row r="744" spans="3:11" x14ac:dyDescent="0.25">
      <c r="C744" s="96"/>
      <c r="D744" s="109"/>
      <c r="E744" s="109"/>
      <c r="F744" s="110"/>
      <c r="H744" s="108"/>
    </row>
    <row r="745" spans="3:11" x14ac:dyDescent="0.25">
      <c r="C745" s="111"/>
      <c r="D745" s="112"/>
      <c r="E745" s="112"/>
      <c r="F745" s="113"/>
      <c r="G745" s="114"/>
      <c r="H745" s="115"/>
      <c r="I745" s="114"/>
      <c r="J745" s="114"/>
      <c r="K745" s="114"/>
    </row>
    <row r="746" spans="3:11" x14ac:dyDescent="0.25">
      <c r="C746" s="96"/>
      <c r="D746" s="109"/>
      <c r="E746" s="109"/>
      <c r="F746" s="110"/>
      <c r="H746" s="108"/>
    </row>
    <row r="747" spans="3:11" x14ac:dyDescent="0.25">
      <c r="C747" s="96"/>
      <c r="D747" s="109"/>
      <c r="E747" s="109"/>
      <c r="F747" s="110"/>
      <c r="H747" s="108"/>
    </row>
    <row r="748" spans="3:11" x14ac:dyDescent="0.25">
      <c r="C748" s="96"/>
      <c r="D748" s="109"/>
      <c r="E748" s="109"/>
      <c r="F748" s="110"/>
      <c r="H748" s="108"/>
    </row>
    <row r="749" spans="3:11" x14ac:dyDescent="0.25">
      <c r="C749" s="96"/>
      <c r="D749" s="109"/>
      <c r="E749" s="109"/>
      <c r="F749" s="110"/>
      <c r="H749" s="108"/>
    </row>
    <row r="750" spans="3:11" x14ac:dyDescent="0.25">
      <c r="C750" s="96"/>
      <c r="D750" s="109"/>
      <c r="E750" s="109"/>
      <c r="F750" s="110"/>
      <c r="H750" s="108"/>
    </row>
    <row r="751" spans="3:11" x14ac:dyDescent="0.25">
      <c r="C751" s="96"/>
      <c r="D751" s="109"/>
      <c r="E751" s="109"/>
      <c r="F751" s="110"/>
      <c r="H751" s="108"/>
    </row>
    <row r="752" spans="3:11" x14ac:dyDescent="0.25">
      <c r="C752" s="96"/>
      <c r="D752" s="109"/>
      <c r="E752" s="109"/>
      <c r="F752" s="110"/>
      <c r="H752" s="108"/>
    </row>
    <row r="753" spans="3:11" x14ac:dyDescent="0.25">
      <c r="C753" s="96"/>
      <c r="D753" s="109"/>
      <c r="E753" s="109"/>
      <c r="F753" s="110"/>
      <c r="H753" s="108"/>
    </row>
    <row r="754" spans="3:11" x14ac:dyDescent="0.25">
      <c r="C754" s="111"/>
      <c r="D754" s="112"/>
      <c r="E754" s="112"/>
      <c r="F754" s="113"/>
      <c r="G754" s="114"/>
      <c r="H754" s="115"/>
      <c r="I754" s="114"/>
      <c r="J754" s="114"/>
      <c r="K754" s="114"/>
    </row>
    <row r="755" spans="3:11" x14ac:dyDescent="0.25">
      <c r="C755" s="96"/>
      <c r="D755" s="109"/>
      <c r="E755" s="109"/>
      <c r="F755" s="110"/>
      <c r="H755" s="108"/>
    </row>
    <row r="756" spans="3:11" x14ac:dyDescent="0.25">
      <c r="C756" s="96"/>
      <c r="D756" s="109"/>
      <c r="E756" s="109"/>
      <c r="F756" s="110"/>
      <c r="H756" s="108"/>
    </row>
    <row r="757" spans="3:11" x14ac:dyDescent="0.25">
      <c r="C757" s="111"/>
      <c r="D757" s="112"/>
      <c r="E757" s="112"/>
      <c r="F757" s="113"/>
      <c r="G757" s="114"/>
      <c r="H757" s="115"/>
      <c r="I757" s="114"/>
      <c r="J757" s="114"/>
      <c r="K757" s="114"/>
    </row>
    <row r="758" spans="3:11" x14ac:dyDescent="0.25">
      <c r="C758" s="96"/>
      <c r="D758" s="106"/>
      <c r="E758" s="106"/>
      <c r="F758" s="107"/>
      <c r="H758" s="108"/>
    </row>
    <row r="759" spans="3:11" x14ac:dyDescent="0.25">
      <c r="C759" s="96"/>
      <c r="D759" s="106"/>
      <c r="E759" s="106"/>
      <c r="F759" s="107"/>
      <c r="H759" s="108"/>
    </row>
    <row r="760" spans="3:11" x14ac:dyDescent="0.25">
      <c r="C760" s="111"/>
      <c r="D760" s="116"/>
      <c r="E760" s="116"/>
      <c r="F760" s="117"/>
      <c r="G760" s="114"/>
      <c r="H760" s="115"/>
      <c r="I760" s="114"/>
      <c r="J760" s="114"/>
      <c r="K760" s="114"/>
    </row>
    <row r="761" spans="3:11" x14ac:dyDescent="0.25">
      <c r="C761" s="96"/>
      <c r="D761" s="106"/>
      <c r="E761" s="106"/>
      <c r="F761" s="107"/>
      <c r="H761" s="108"/>
    </row>
    <row r="762" spans="3:11" x14ac:dyDescent="0.25">
      <c r="C762" s="96"/>
      <c r="D762" s="106"/>
      <c r="E762" s="106"/>
      <c r="F762" s="107"/>
      <c r="H762" s="108"/>
    </row>
    <row r="763" spans="3:11" x14ac:dyDescent="0.25">
      <c r="C763" s="96"/>
      <c r="D763" s="106"/>
      <c r="E763" s="106"/>
      <c r="F763" s="107"/>
      <c r="H763" s="108"/>
    </row>
    <row r="764" spans="3:11" x14ac:dyDescent="0.25">
      <c r="C764" s="96"/>
      <c r="D764" s="106"/>
      <c r="E764" s="106"/>
      <c r="F764" s="107"/>
      <c r="H764" s="108"/>
    </row>
    <row r="765" spans="3:11" x14ac:dyDescent="0.25">
      <c r="C765" s="96"/>
      <c r="D765" s="106"/>
      <c r="E765" s="106"/>
      <c r="F765" s="107"/>
      <c r="H765" s="108"/>
    </row>
    <row r="766" spans="3:11" x14ac:dyDescent="0.25">
      <c r="C766" s="96"/>
      <c r="D766" s="106"/>
      <c r="E766" s="106"/>
      <c r="F766" s="107"/>
      <c r="H766" s="108"/>
    </row>
    <row r="767" spans="3:11" x14ac:dyDescent="0.25">
      <c r="C767" s="96"/>
      <c r="D767" s="96"/>
      <c r="F767" s="96"/>
      <c r="G767" s="96"/>
      <c r="H767" s="96"/>
    </row>
    <row r="768" spans="3:11" x14ac:dyDescent="0.25">
      <c r="C768" s="96"/>
      <c r="D768" s="96"/>
      <c r="F768" s="96"/>
      <c r="G768" s="96"/>
      <c r="H768" s="96"/>
    </row>
    <row r="769" spans="3:11" x14ac:dyDescent="0.25">
      <c r="C769" s="96"/>
      <c r="D769" s="96"/>
      <c r="F769" s="96"/>
      <c r="G769" s="96"/>
      <c r="H769" s="96"/>
    </row>
    <row r="770" spans="3:11" x14ac:dyDescent="0.25">
      <c r="C770" s="96"/>
      <c r="D770" s="96"/>
      <c r="F770" s="96"/>
      <c r="G770" s="96"/>
      <c r="H770" s="96"/>
    </row>
    <row r="771" spans="3:11" x14ac:dyDescent="0.25">
      <c r="C771" s="96"/>
      <c r="D771" s="96"/>
      <c r="F771" s="96"/>
      <c r="G771" s="96"/>
      <c r="H771" s="96"/>
    </row>
    <row r="772" spans="3:11" x14ac:dyDescent="0.25">
      <c r="C772" s="96"/>
      <c r="D772" s="96"/>
      <c r="F772" s="96"/>
      <c r="G772" s="96"/>
      <c r="H772" s="96"/>
    </row>
    <row r="773" spans="3:11" x14ac:dyDescent="0.25">
      <c r="D773" s="22"/>
      <c r="E773" s="98"/>
      <c r="F773" s="94"/>
      <c r="G773" s="94"/>
      <c r="I773" s="94"/>
      <c r="J773" s="94"/>
      <c r="K773" s="94"/>
    </row>
    <row r="774" spans="3:11" x14ac:dyDescent="0.25">
      <c r="D774" s="22"/>
      <c r="E774" s="98"/>
      <c r="F774" s="94"/>
      <c r="G774" s="94"/>
      <c r="I774" s="94"/>
      <c r="J774" s="94"/>
      <c r="K774" s="94"/>
    </row>
    <row r="775" spans="3:11" x14ac:dyDescent="0.25">
      <c r="D775" s="22"/>
      <c r="E775" s="98"/>
      <c r="F775" s="94"/>
      <c r="G775" s="94"/>
      <c r="I775" s="94"/>
      <c r="J775" s="94"/>
      <c r="K775" s="94"/>
    </row>
    <row r="776" spans="3:11" x14ac:dyDescent="0.25">
      <c r="D776" s="22"/>
      <c r="E776" s="98"/>
      <c r="F776" s="94"/>
      <c r="G776" s="94"/>
      <c r="I776" s="94"/>
      <c r="J776" s="94"/>
      <c r="K776" s="94"/>
    </row>
    <row r="777" spans="3:11" x14ac:dyDescent="0.25">
      <c r="D777" s="22"/>
      <c r="E777" s="98"/>
      <c r="F777" s="94"/>
      <c r="G777" s="94"/>
      <c r="I777" s="94"/>
      <c r="J777" s="94"/>
      <c r="K777" s="94"/>
    </row>
    <row r="778" spans="3:11" x14ac:dyDescent="0.25">
      <c r="D778" s="22"/>
      <c r="E778" s="98"/>
      <c r="F778" s="94"/>
      <c r="G778" s="94"/>
      <c r="I778" s="94"/>
      <c r="J778" s="94"/>
      <c r="K778" s="94"/>
    </row>
    <row r="779" spans="3:11" x14ac:dyDescent="0.25">
      <c r="D779" s="22"/>
      <c r="E779" s="98"/>
      <c r="F779" s="94"/>
      <c r="G779" s="94"/>
      <c r="I779" s="94"/>
      <c r="J779" s="94"/>
      <c r="K779" s="94"/>
    </row>
    <row r="780" spans="3:11" x14ac:dyDescent="0.25">
      <c r="D780" s="22"/>
      <c r="E780" s="98"/>
      <c r="F780" s="94"/>
      <c r="G780" s="94"/>
      <c r="I780" s="94"/>
      <c r="J780" s="94"/>
      <c r="K780" s="94"/>
    </row>
    <row r="781" spans="3:11" x14ac:dyDescent="0.25">
      <c r="D781" s="22"/>
      <c r="E781" s="98"/>
      <c r="F781" s="94"/>
      <c r="G781" s="94"/>
      <c r="I781" s="94"/>
      <c r="J781" s="94"/>
      <c r="K781" s="94"/>
    </row>
    <row r="782" spans="3:11" x14ac:dyDescent="0.25">
      <c r="D782" s="22"/>
      <c r="E782" s="98"/>
      <c r="F782" s="94"/>
      <c r="G782" s="94"/>
      <c r="I782" s="94"/>
      <c r="J782" s="94"/>
      <c r="K782" s="94"/>
    </row>
    <row r="783" spans="3:11" x14ac:dyDescent="0.25">
      <c r="D783" s="22"/>
      <c r="E783" s="98"/>
      <c r="F783" s="94"/>
      <c r="G783" s="94"/>
      <c r="I783" s="94"/>
      <c r="J783" s="94"/>
      <c r="K783" s="94"/>
    </row>
    <row r="784" spans="3:11" x14ac:dyDescent="0.25">
      <c r="D784" s="22"/>
      <c r="E784" s="98"/>
      <c r="F784" s="94"/>
      <c r="G784" s="94"/>
      <c r="I784" s="94"/>
      <c r="J784" s="94"/>
      <c r="K784" s="94"/>
    </row>
    <row r="785" spans="4:11" x14ac:dyDescent="0.25">
      <c r="D785" s="22"/>
      <c r="E785" s="98"/>
      <c r="F785" s="94"/>
      <c r="G785" s="94"/>
      <c r="I785" s="94"/>
      <c r="J785" s="94"/>
      <c r="K785" s="94"/>
    </row>
    <row r="786" spans="4:11" x14ac:dyDescent="0.25">
      <c r="D786" s="22"/>
      <c r="E786" s="98"/>
      <c r="F786" s="94"/>
      <c r="G786" s="94"/>
      <c r="I786" s="94"/>
      <c r="J786" s="94"/>
      <c r="K786" s="94"/>
    </row>
    <row r="787" spans="4:11" x14ac:dyDescent="0.25">
      <c r="D787" s="22"/>
      <c r="E787" s="98"/>
      <c r="F787" s="94"/>
      <c r="G787" s="94"/>
      <c r="I787" s="94"/>
      <c r="J787" s="94"/>
      <c r="K787" s="94"/>
    </row>
    <row r="788" spans="4:11" x14ac:dyDescent="0.25">
      <c r="D788" s="22"/>
      <c r="E788" s="98"/>
      <c r="F788" s="94"/>
      <c r="G788" s="94"/>
      <c r="I788" s="94"/>
      <c r="J788" s="94"/>
      <c r="K788" s="94"/>
    </row>
    <row r="789" spans="4:11" x14ac:dyDescent="0.25">
      <c r="D789" s="22"/>
      <c r="E789" s="98"/>
      <c r="F789" s="94"/>
      <c r="G789" s="94"/>
      <c r="I789" s="94"/>
      <c r="J789" s="94"/>
      <c r="K789" s="94"/>
    </row>
    <row r="790" spans="4:11" x14ac:dyDescent="0.25">
      <c r="D790" s="22"/>
      <c r="E790" s="98"/>
      <c r="F790" s="94"/>
      <c r="G790" s="94"/>
      <c r="I790" s="94"/>
      <c r="J790" s="94"/>
      <c r="K790" s="94"/>
    </row>
    <row r="791" spans="4:11" x14ac:dyDescent="0.25">
      <c r="D791" s="22"/>
      <c r="E791" s="98"/>
      <c r="F791" s="94"/>
      <c r="G791" s="94"/>
      <c r="I791" s="94"/>
      <c r="J791" s="94"/>
      <c r="K791" s="94"/>
    </row>
    <row r="792" spans="4:11" x14ac:dyDescent="0.25">
      <c r="D792" s="22"/>
      <c r="E792" s="98"/>
      <c r="F792" s="94"/>
      <c r="G792" s="94"/>
      <c r="I792" s="94"/>
      <c r="J792" s="94"/>
      <c r="K792" s="94"/>
    </row>
    <row r="793" spans="4:11" x14ac:dyDescent="0.25">
      <c r="D793" s="22"/>
      <c r="E793" s="98"/>
      <c r="F793" s="94"/>
      <c r="G793" s="94"/>
      <c r="I793" s="94"/>
      <c r="J793" s="94"/>
      <c r="K793" s="94"/>
    </row>
    <row r="794" spans="4:11" x14ac:dyDescent="0.25">
      <c r="D794" s="22"/>
      <c r="E794" s="98"/>
      <c r="F794" s="94"/>
      <c r="G794" s="94"/>
      <c r="I794" s="94"/>
      <c r="J794" s="94"/>
      <c r="K794" s="94"/>
    </row>
    <row r="795" spans="4:11" x14ac:dyDescent="0.25">
      <c r="D795" s="22"/>
      <c r="E795" s="98"/>
      <c r="F795" s="94"/>
      <c r="G795" s="94"/>
      <c r="I795" s="94"/>
      <c r="J795" s="94"/>
      <c r="K795" s="94"/>
    </row>
    <row r="796" spans="4:11" x14ac:dyDescent="0.25">
      <c r="D796" s="22"/>
      <c r="E796" s="98"/>
      <c r="F796" s="94"/>
      <c r="G796" s="94"/>
      <c r="I796" s="94"/>
      <c r="J796" s="94"/>
      <c r="K796" s="94"/>
    </row>
    <row r="797" spans="4:11" x14ac:dyDescent="0.25">
      <c r="D797" s="22"/>
      <c r="E797" s="98"/>
      <c r="F797" s="94"/>
      <c r="G797" s="94"/>
      <c r="I797" s="94"/>
      <c r="J797" s="94"/>
      <c r="K797" s="94"/>
    </row>
    <row r="798" spans="4:11" x14ac:dyDescent="0.25">
      <c r="D798" s="22"/>
      <c r="E798" s="98"/>
      <c r="F798" s="94"/>
      <c r="G798" s="94"/>
      <c r="I798" s="94"/>
      <c r="J798" s="94"/>
      <c r="K798" s="94"/>
    </row>
    <row r="799" spans="4:11" x14ac:dyDescent="0.25">
      <c r="D799" s="22"/>
      <c r="E799" s="98"/>
      <c r="F799" s="94"/>
      <c r="G799" s="94"/>
      <c r="I799" s="94"/>
      <c r="J799" s="94"/>
      <c r="K799" s="94"/>
    </row>
    <row r="800" spans="4:11" x14ac:dyDescent="0.25">
      <c r="D800" s="22"/>
      <c r="E800" s="98"/>
      <c r="F800" s="94"/>
      <c r="G800" s="94"/>
      <c r="I800" s="94"/>
      <c r="J800" s="94"/>
      <c r="K800" s="94"/>
    </row>
    <row r="801" spans="3:11" x14ac:dyDescent="0.25">
      <c r="D801" s="22"/>
      <c r="E801" s="98"/>
      <c r="F801" s="94"/>
      <c r="G801" s="94"/>
      <c r="I801" s="94"/>
      <c r="J801" s="94"/>
      <c r="K801" s="94"/>
    </row>
    <row r="802" spans="3:11" x14ac:dyDescent="0.25">
      <c r="D802" s="22"/>
      <c r="E802" s="98"/>
      <c r="F802" s="94"/>
      <c r="G802" s="94"/>
      <c r="I802" s="94"/>
      <c r="J802" s="94"/>
      <c r="K802" s="94"/>
    </row>
    <row r="803" spans="3:11" x14ac:dyDescent="0.25">
      <c r="D803" s="22"/>
      <c r="E803" s="98"/>
      <c r="F803" s="94"/>
      <c r="G803" s="94"/>
      <c r="I803" s="94"/>
      <c r="J803" s="94"/>
      <c r="K803" s="94"/>
    </row>
    <row r="804" spans="3:11" x14ac:dyDescent="0.25">
      <c r="D804" s="22"/>
      <c r="E804" s="98"/>
      <c r="F804" s="94"/>
      <c r="G804" s="94"/>
      <c r="I804" s="94"/>
      <c r="J804" s="94"/>
      <c r="K804" s="94"/>
    </row>
    <row r="805" spans="3:11" x14ac:dyDescent="0.25">
      <c r="D805" s="22"/>
      <c r="E805" s="98"/>
      <c r="F805" s="94"/>
      <c r="G805" s="94"/>
      <c r="I805" s="94"/>
      <c r="J805" s="94"/>
      <c r="K805" s="94"/>
    </row>
    <row r="806" spans="3:11" x14ac:dyDescent="0.25">
      <c r="D806" s="22"/>
      <c r="E806" s="98"/>
      <c r="F806" s="94"/>
      <c r="G806" s="94"/>
      <c r="I806" s="94"/>
      <c r="J806" s="94"/>
      <c r="K806" s="94"/>
    </row>
    <row r="807" spans="3:11" x14ac:dyDescent="0.25">
      <c r="D807" s="22"/>
      <c r="E807" s="98"/>
      <c r="F807" s="94"/>
      <c r="G807" s="94"/>
      <c r="I807" s="94"/>
      <c r="J807" s="94"/>
      <c r="K807" s="94"/>
    </row>
    <row r="808" spans="3:11" x14ac:dyDescent="0.25">
      <c r="D808" s="22"/>
      <c r="E808" s="98"/>
      <c r="F808" s="94"/>
      <c r="G808" s="94"/>
      <c r="I808" s="94"/>
      <c r="J808" s="94"/>
      <c r="K808" s="94"/>
    </row>
    <row r="809" spans="3:11" x14ac:dyDescent="0.25">
      <c r="D809" s="22"/>
      <c r="E809" s="98"/>
      <c r="F809" s="94"/>
      <c r="G809" s="94"/>
      <c r="I809" s="94"/>
      <c r="J809" s="94"/>
      <c r="K809" s="94"/>
    </row>
    <row r="810" spans="3:11" x14ac:dyDescent="0.25">
      <c r="C810" s="102"/>
      <c r="D810" s="100"/>
      <c r="E810" s="98"/>
      <c r="F810" s="94"/>
      <c r="G810" s="94"/>
      <c r="H810" s="102"/>
      <c r="I810" s="94"/>
      <c r="J810" s="94"/>
      <c r="K810" s="94"/>
    </row>
    <row r="811" spans="3:11" x14ac:dyDescent="0.25">
      <c r="C811" s="102"/>
      <c r="D811" s="100"/>
      <c r="E811" s="98"/>
      <c r="F811" s="94"/>
      <c r="G811" s="94"/>
      <c r="H811" s="102"/>
      <c r="I811" s="94"/>
      <c r="J811" s="94"/>
      <c r="K811" s="94"/>
    </row>
    <row r="812" spans="3:11" x14ac:dyDescent="0.25">
      <c r="C812" s="102"/>
      <c r="D812" s="100"/>
      <c r="E812" s="98"/>
      <c r="F812" s="94"/>
      <c r="G812" s="94"/>
      <c r="H812" s="102"/>
      <c r="I812" s="94"/>
      <c r="J812" s="94"/>
      <c r="K812" s="94"/>
    </row>
    <row r="813" spans="3:11" x14ac:dyDescent="0.25">
      <c r="C813" s="102"/>
      <c r="D813" s="100"/>
      <c r="E813" s="98"/>
      <c r="F813" s="94"/>
      <c r="G813" s="94"/>
      <c r="H813" s="102"/>
      <c r="I813" s="94"/>
      <c r="J813" s="94"/>
      <c r="K813" s="94"/>
    </row>
    <row r="814" spans="3:11" x14ac:dyDescent="0.25">
      <c r="C814" s="102"/>
      <c r="D814" s="100"/>
      <c r="E814" s="98"/>
      <c r="F814" s="94"/>
      <c r="G814" s="94"/>
      <c r="H814" s="102"/>
      <c r="I814" s="94"/>
      <c r="J814" s="94"/>
      <c r="K814" s="94"/>
    </row>
    <row r="815" spans="3:11" x14ac:dyDescent="0.25">
      <c r="C815" s="102"/>
      <c r="D815" s="100"/>
      <c r="E815" s="98"/>
      <c r="F815" s="94"/>
      <c r="G815" s="94"/>
      <c r="H815" s="102"/>
      <c r="I815" s="94"/>
      <c r="J815" s="94"/>
      <c r="K815" s="94"/>
    </row>
    <row r="816" spans="3:11" x14ac:dyDescent="0.25">
      <c r="C816" s="102"/>
      <c r="D816" s="100"/>
      <c r="E816" s="98"/>
      <c r="F816" s="94"/>
      <c r="G816" s="94"/>
      <c r="H816" s="102"/>
      <c r="I816" s="94"/>
      <c r="J816" s="94"/>
      <c r="K816" s="94"/>
    </row>
    <row r="817" spans="3:11" x14ac:dyDescent="0.25">
      <c r="C817" s="102"/>
      <c r="D817" s="100"/>
      <c r="E817" s="98"/>
      <c r="F817" s="94"/>
      <c r="G817" s="94"/>
      <c r="H817" s="102"/>
      <c r="I817" s="94"/>
      <c r="J817" s="94"/>
      <c r="K817" s="94"/>
    </row>
    <row r="818" spans="3:11" x14ac:dyDescent="0.25">
      <c r="C818" s="102"/>
      <c r="D818" s="100"/>
      <c r="E818" s="98"/>
      <c r="F818" s="94"/>
      <c r="G818" s="94"/>
      <c r="H818" s="102"/>
      <c r="I818" s="94"/>
      <c r="J818" s="94"/>
      <c r="K818" s="94"/>
    </row>
    <row r="819" spans="3:11" x14ac:dyDescent="0.25">
      <c r="C819" s="118"/>
      <c r="D819" s="100"/>
      <c r="E819" s="98"/>
      <c r="F819" s="94"/>
      <c r="G819" s="94"/>
      <c r="H819" s="102"/>
      <c r="I819" s="94"/>
      <c r="J819" s="94"/>
      <c r="K819" s="94"/>
    </row>
    <row r="820" spans="3:11" x14ac:dyDescent="0.25">
      <c r="C820" s="102"/>
      <c r="D820" s="100"/>
      <c r="E820" s="98"/>
      <c r="F820" s="94"/>
      <c r="G820" s="94"/>
      <c r="H820" s="102"/>
      <c r="I820" s="94"/>
      <c r="J820" s="94"/>
      <c r="K820" s="94"/>
    </row>
    <row r="821" spans="3:11" x14ac:dyDescent="0.25">
      <c r="C821" s="102"/>
      <c r="D821" s="100"/>
      <c r="E821" s="98"/>
      <c r="F821" s="94"/>
      <c r="G821" s="94"/>
      <c r="H821" s="102"/>
      <c r="I821" s="94"/>
      <c r="J821" s="94"/>
      <c r="K821" s="94"/>
    </row>
    <row r="822" spans="3:11" x14ac:dyDescent="0.25">
      <c r="C822" s="102"/>
      <c r="D822" s="100"/>
      <c r="E822" s="98"/>
      <c r="F822" s="94"/>
      <c r="G822" s="94"/>
      <c r="H822" s="102"/>
      <c r="I822" s="94"/>
      <c r="J822" s="94"/>
      <c r="K822" s="94"/>
    </row>
    <row r="823" spans="3:11" x14ac:dyDescent="0.25">
      <c r="C823" s="102"/>
      <c r="D823" s="100"/>
      <c r="E823" s="98"/>
      <c r="F823" s="94"/>
      <c r="G823" s="94"/>
      <c r="H823" s="102"/>
      <c r="I823" s="94"/>
      <c r="J823" s="94"/>
      <c r="K823" s="94"/>
    </row>
    <row r="824" spans="3:11" x14ac:dyDescent="0.25">
      <c r="C824" s="119"/>
      <c r="D824" s="100"/>
      <c r="E824" s="98"/>
      <c r="F824" s="94"/>
      <c r="G824" s="94"/>
      <c r="H824" s="119"/>
      <c r="I824" s="94"/>
      <c r="J824" s="94"/>
      <c r="K824" s="94"/>
    </row>
    <row r="825" spans="3:11" x14ac:dyDescent="0.25">
      <c r="C825" s="102"/>
      <c r="D825" s="100"/>
      <c r="E825" s="98"/>
      <c r="F825" s="94"/>
      <c r="G825" s="94"/>
      <c r="H825" s="102"/>
      <c r="I825" s="94"/>
      <c r="J825" s="94"/>
      <c r="K825" s="94"/>
    </row>
    <row r="826" spans="3:11" x14ac:dyDescent="0.25">
      <c r="C826" s="102"/>
      <c r="D826" s="100"/>
      <c r="E826" s="98"/>
      <c r="F826" s="94"/>
      <c r="G826" s="94"/>
      <c r="H826" s="102"/>
      <c r="I826" s="94"/>
      <c r="J826" s="94"/>
      <c r="K826" s="94"/>
    </row>
    <row r="827" spans="3:11" x14ac:dyDescent="0.25">
      <c r="C827" s="102"/>
      <c r="D827" s="100"/>
      <c r="E827" s="98"/>
      <c r="F827" s="94"/>
      <c r="G827" s="94"/>
      <c r="H827" s="102"/>
      <c r="I827" s="94"/>
      <c r="J827" s="94"/>
      <c r="K827" s="94"/>
    </row>
    <row r="828" spans="3:11" x14ac:dyDescent="0.25">
      <c r="C828" s="102"/>
      <c r="D828" s="100"/>
      <c r="E828" s="98"/>
      <c r="F828" s="94"/>
      <c r="G828" s="94"/>
      <c r="H828" s="102"/>
      <c r="I828" s="94"/>
      <c r="J828" s="94"/>
      <c r="K828" s="94"/>
    </row>
    <row r="829" spans="3:11" x14ac:dyDescent="0.25">
      <c r="C829" s="102"/>
      <c r="D829" s="100"/>
      <c r="E829" s="98"/>
      <c r="F829" s="94"/>
      <c r="G829" s="94"/>
      <c r="H829" s="102"/>
      <c r="I829" s="94"/>
      <c r="J829" s="94"/>
      <c r="K829" s="94"/>
    </row>
    <row r="830" spans="3:11" x14ac:dyDescent="0.25">
      <c r="C830" s="102"/>
      <c r="D830" s="100"/>
      <c r="E830" s="98"/>
      <c r="F830" s="94"/>
      <c r="G830" s="94"/>
      <c r="H830" s="102"/>
      <c r="I830" s="94"/>
      <c r="J830" s="94"/>
      <c r="K830" s="94"/>
    </row>
    <row r="831" spans="3:11" x14ac:dyDescent="0.25">
      <c r="C831" s="102"/>
      <c r="D831" s="100"/>
      <c r="E831" s="98"/>
      <c r="F831" s="94"/>
      <c r="G831" s="94"/>
      <c r="H831" s="102"/>
      <c r="I831" s="94"/>
      <c r="J831" s="94"/>
      <c r="K831" s="94"/>
    </row>
    <row r="832" spans="3:11" x14ac:dyDescent="0.25">
      <c r="C832" s="102"/>
      <c r="D832" s="100"/>
      <c r="E832" s="98"/>
      <c r="F832" s="94"/>
      <c r="G832" s="94"/>
      <c r="H832" s="102"/>
      <c r="I832" s="94"/>
      <c r="J832" s="94"/>
      <c r="K832" s="94"/>
    </row>
    <row r="833" spans="3:11" x14ac:dyDescent="0.25">
      <c r="C833" s="102"/>
      <c r="D833" s="100"/>
      <c r="E833" s="98"/>
      <c r="F833" s="94"/>
      <c r="G833" s="94"/>
      <c r="H833" s="102"/>
      <c r="I833" s="94"/>
      <c r="J833" s="94"/>
      <c r="K833" s="94"/>
    </row>
    <row r="834" spans="3:11" x14ac:dyDescent="0.25">
      <c r="C834" s="102"/>
      <c r="D834" s="100"/>
      <c r="E834" s="98"/>
      <c r="F834" s="94"/>
      <c r="G834" s="94"/>
      <c r="H834" s="102"/>
      <c r="I834" s="94"/>
      <c r="J834" s="94"/>
      <c r="K834" s="94"/>
    </row>
    <row r="835" spans="3:11" x14ac:dyDescent="0.25">
      <c r="C835" s="102"/>
      <c r="D835" s="100"/>
      <c r="E835" s="98"/>
      <c r="F835" s="94"/>
      <c r="G835" s="94"/>
      <c r="H835" s="102"/>
      <c r="I835" s="94"/>
      <c r="J835" s="94"/>
      <c r="K835" s="94"/>
    </row>
    <row r="836" spans="3:11" x14ac:dyDescent="0.25">
      <c r="C836" s="102"/>
      <c r="D836" s="100"/>
      <c r="E836" s="98"/>
      <c r="F836" s="94"/>
      <c r="G836" s="94"/>
      <c r="H836" s="102"/>
      <c r="I836" s="94"/>
      <c r="J836" s="94"/>
      <c r="K836" s="94"/>
    </row>
    <row r="837" spans="3:11" x14ac:dyDescent="0.25">
      <c r="C837" s="102"/>
      <c r="D837" s="100"/>
      <c r="E837" s="98"/>
      <c r="F837" s="94"/>
      <c r="G837" s="94"/>
      <c r="H837" s="102"/>
      <c r="I837" s="94"/>
      <c r="J837" s="94"/>
      <c r="K837" s="94"/>
    </row>
    <row r="838" spans="3:11" x14ac:dyDescent="0.25">
      <c r="C838" s="102"/>
      <c r="D838" s="100"/>
      <c r="E838" s="98"/>
      <c r="F838" s="94"/>
      <c r="G838" s="94"/>
      <c r="H838" s="102"/>
      <c r="I838" s="94"/>
      <c r="J838" s="94"/>
      <c r="K838" s="94"/>
    </row>
    <row r="839" spans="3:11" x14ac:dyDescent="0.25">
      <c r="C839" s="102"/>
      <c r="D839" s="100"/>
      <c r="E839" s="98"/>
      <c r="F839" s="94"/>
      <c r="G839" s="94"/>
      <c r="H839" s="102"/>
      <c r="I839" s="94"/>
      <c r="J839" s="94"/>
      <c r="K839" s="94"/>
    </row>
    <row r="840" spans="3:11" x14ac:dyDescent="0.25">
      <c r="C840" s="102"/>
      <c r="D840" s="100"/>
      <c r="E840" s="98"/>
      <c r="F840" s="94"/>
      <c r="G840" s="94"/>
      <c r="H840" s="102"/>
      <c r="I840" s="94"/>
      <c r="J840" s="94"/>
      <c r="K840" s="94"/>
    </row>
    <row r="841" spans="3:11" x14ac:dyDescent="0.25">
      <c r="C841" s="102"/>
      <c r="D841" s="100"/>
      <c r="E841" s="98"/>
      <c r="F841" s="94"/>
      <c r="G841" s="94"/>
      <c r="H841" s="102"/>
      <c r="I841" s="94"/>
      <c r="J841" s="94"/>
      <c r="K841" s="94"/>
    </row>
    <row r="842" spans="3:11" x14ac:dyDescent="0.25">
      <c r="C842" s="102"/>
      <c r="D842" s="100"/>
      <c r="E842" s="98"/>
      <c r="F842" s="94"/>
      <c r="G842" s="94"/>
      <c r="H842" s="102"/>
      <c r="I842" s="94"/>
      <c r="J842" s="94"/>
      <c r="K842" s="94"/>
    </row>
    <row r="843" spans="3:11" x14ac:dyDescent="0.25">
      <c r="C843" s="102"/>
      <c r="D843" s="100"/>
      <c r="E843" s="98"/>
      <c r="F843" s="94"/>
      <c r="G843" s="94"/>
      <c r="H843" s="102"/>
      <c r="I843" s="94"/>
      <c r="J843" s="94"/>
      <c r="K843" s="94"/>
    </row>
    <row r="844" spans="3:11" x14ac:dyDescent="0.25">
      <c r="C844" s="118"/>
      <c r="D844" s="100"/>
      <c r="E844" s="98"/>
      <c r="F844" s="94"/>
      <c r="G844" s="94"/>
      <c r="H844" s="102"/>
      <c r="I844" s="94"/>
      <c r="J844" s="94"/>
      <c r="K844" s="94"/>
    </row>
    <row r="845" spans="3:11" x14ac:dyDescent="0.25">
      <c r="C845" s="102"/>
      <c r="D845" s="100"/>
      <c r="E845" s="98"/>
      <c r="F845" s="94"/>
      <c r="G845" s="94"/>
      <c r="H845" s="102"/>
      <c r="I845" s="94"/>
      <c r="J845" s="94"/>
      <c r="K845" s="94"/>
    </row>
    <row r="846" spans="3:11" x14ac:dyDescent="0.25">
      <c r="C846" s="102"/>
      <c r="D846" s="100"/>
      <c r="E846" s="98"/>
      <c r="F846" s="94"/>
      <c r="G846" s="94"/>
      <c r="H846" s="102"/>
      <c r="I846" s="94"/>
      <c r="J846" s="94"/>
      <c r="K846" s="94"/>
    </row>
    <row r="847" spans="3:11" x14ac:dyDescent="0.25">
      <c r="C847" s="102"/>
      <c r="D847" s="100"/>
      <c r="E847" s="98"/>
      <c r="F847" s="94"/>
      <c r="G847" s="94"/>
      <c r="H847" s="102"/>
      <c r="I847" s="94"/>
      <c r="J847" s="94"/>
      <c r="K847" s="94"/>
    </row>
    <row r="848" spans="3:11" x14ac:dyDescent="0.25">
      <c r="C848" s="102"/>
      <c r="D848" s="100"/>
      <c r="E848" s="98"/>
      <c r="F848" s="94"/>
      <c r="G848" s="94"/>
      <c r="H848" s="102"/>
      <c r="I848" s="94"/>
      <c r="J848" s="94"/>
      <c r="K848" s="94"/>
    </row>
    <row r="849" spans="3:11" x14ac:dyDescent="0.25">
      <c r="C849" s="102"/>
      <c r="D849" s="100"/>
      <c r="E849" s="98"/>
      <c r="F849" s="94"/>
      <c r="G849" s="94"/>
      <c r="H849" s="102"/>
      <c r="I849" s="94"/>
      <c r="J849" s="94"/>
      <c r="K849" s="94"/>
    </row>
    <row r="850" spans="3:11" x14ac:dyDescent="0.25">
      <c r="C850" s="102"/>
      <c r="D850" s="100"/>
      <c r="E850" s="98"/>
      <c r="F850" s="94"/>
      <c r="G850" s="94"/>
      <c r="H850" s="102"/>
      <c r="I850" s="94"/>
      <c r="J850" s="94"/>
      <c r="K850" s="94"/>
    </row>
    <row r="851" spans="3:11" x14ac:dyDescent="0.25">
      <c r="C851" s="102"/>
      <c r="D851" s="100"/>
      <c r="E851" s="98"/>
      <c r="F851" s="94"/>
      <c r="G851" s="94"/>
      <c r="H851" s="102"/>
      <c r="I851" s="94"/>
      <c r="J851" s="94"/>
      <c r="K851" s="94"/>
    </row>
    <row r="852" spans="3:11" x14ac:dyDescent="0.25">
      <c r="C852" s="102"/>
      <c r="D852" s="100"/>
      <c r="E852" s="98"/>
      <c r="F852" s="94"/>
      <c r="G852" s="94"/>
      <c r="H852" s="102"/>
      <c r="I852" s="94"/>
      <c r="J852" s="94"/>
      <c r="K852" s="94"/>
    </row>
    <row r="853" spans="3:11" x14ac:dyDescent="0.25">
      <c r="C853" s="102"/>
      <c r="D853" s="100"/>
      <c r="E853" s="98"/>
      <c r="F853" s="94"/>
      <c r="G853" s="94"/>
      <c r="H853" s="102"/>
      <c r="I853" s="94"/>
      <c r="J853" s="94"/>
      <c r="K853" s="94"/>
    </row>
    <row r="854" spans="3:11" x14ac:dyDescent="0.25">
      <c r="C854" s="102"/>
      <c r="D854" s="100"/>
      <c r="E854" s="98"/>
      <c r="F854" s="94"/>
      <c r="G854" s="94"/>
      <c r="H854" s="102"/>
      <c r="I854" s="94"/>
      <c r="J854" s="94"/>
      <c r="K854" s="94"/>
    </row>
    <row r="855" spans="3:11" x14ac:dyDescent="0.25">
      <c r="C855" s="102"/>
      <c r="D855" s="100"/>
      <c r="E855" s="98"/>
      <c r="F855" s="94"/>
      <c r="G855" s="94"/>
      <c r="H855" s="102"/>
      <c r="I855" s="94"/>
      <c r="J855" s="94"/>
      <c r="K855" s="94"/>
    </row>
    <row r="856" spans="3:11" x14ac:dyDescent="0.25">
      <c r="C856" s="118"/>
      <c r="D856" s="100"/>
      <c r="E856" s="98"/>
      <c r="F856" s="94"/>
      <c r="G856" s="94"/>
      <c r="H856" s="102"/>
      <c r="I856" s="94"/>
      <c r="J856" s="94"/>
      <c r="K856" s="94"/>
    </row>
    <row r="857" spans="3:11" x14ac:dyDescent="0.25">
      <c r="C857" s="102"/>
      <c r="D857" s="100"/>
      <c r="E857" s="98"/>
      <c r="F857" s="94"/>
      <c r="G857" s="94"/>
      <c r="H857" s="102"/>
      <c r="I857" s="94"/>
      <c r="J857" s="94"/>
      <c r="K857" s="94"/>
    </row>
    <row r="858" spans="3:11" x14ac:dyDescent="0.25">
      <c r="C858" s="102"/>
      <c r="D858" s="100"/>
      <c r="E858" s="98"/>
      <c r="F858" s="94"/>
      <c r="G858" s="94"/>
      <c r="H858" s="102"/>
      <c r="I858" s="94"/>
      <c r="J858" s="94"/>
      <c r="K858" s="94"/>
    </row>
    <row r="859" spans="3:11" x14ac:dyDescent="0.25">
      <c r="C859" s="102"/>
      <c r="D859" s="100"/>
      <c r="E859" s="98"/>
      <c r="F859" s="94"/>
      <c r="G859" s="94"/>
      <c r="H859" s="102"/>
      <c r="I859" s="94"/>
      <c r="J859" s="94"/>
      <c r="K859" s="94"/>
    </row>
    <row r="860" spans="3:11" x14ac:dyDescent="0.25">
      <c r="C860" s="102"/>
      <c r="D860" s="100"/>
      <c r="E860" s="98"/>
      <c r="F860" s="94"/>
      <c r="G860" s="94"/>
      <c r="H860" s="102"/>
      <c r="I860" s="94"/>
      <c r="J860" s="94"/>
      <c r="K860" s="94"/>
    </row>
    <row r="861" spans="3:11" x14ac:dyDescent="0.25">
      <c r="C861" s="102"/>
      <c r="D861" s="100"/>
      <c r="E861" s="98"/>
      <c r="F861" s="94"/>
      <c r="G861" s="94"/>
      <c r="H861" s="102"/>
      <c r="I861" s="94"/>
      <c r="J861" s="94"/>
      <c r="K861" s="94"/>
    </row>
    <row r="862" spans="3:11" x14ac:dyDescent="0.25">
      <c r="C862" s="102"/>
      <c r="D862" s="100"/>
      <c r="E862" s="98"/>
      <c r="F862" s="94"/>
      <c r="G862" s="94"/>
      <c r="H862" s="102"/>
      <c r="I862" s="94"/>
      <c r="J862" s="94"/>
      <c r="K862" s="94"/>
    </row>
    <row r="863" spans="3:11" x14ac:dyDescent="0.25">
      <c r="C863" s="102"/>
      <c r="D863" s="100"/>
      <c r="E863" s="98"/>
      <c r="F863" s="94"/>
      <c r="G863" s="94"/>
      <c r="H863" s="102"/>
      <c r="I863" s="94"/>
      <c r="J863" s="94"/>
      <c r="K863" s="94"/>
    </row>
    <row r="864" spans="3:11" x14ac:dyDescent="0.25">
      <c r="C864" s="102"/>
      <c r="D864" s="100"/>
      <c r="E864" s="98"/>
      <c r="F864" s="94"/>
      <c r="G864" s="94"/>
      <c r="H864" s="102"/>
      <c r="I864" s="94"/>
      <c r="J864" s="94"/>
      <c r="K864" s="94"/>
    </row>
    <row r="865" spans="3:11" x14ac:dyDescent="0.25">
      <c r="C865" s="102"/>
      <c r="D865" s="100"/>
      <c r="E865" s="98"/>
      <c r="F865" s="94"/>
      <c r="G865" s="94"/>
      <c r="H865" s="102"/>
      <c r="I865" s="94"/>
      <c r="J865" s="94"/>
      <c r="K865" s="94"/>
    </row>
    <row r="866" spans="3:11" x14ac:dyDescent="0.25">
      <c r="C866" s="119"/>
      <c r="D866" s="100"/>
      <c r="E866" s="98"/>
      <c r="F866" s="94"/>
      <c r="G866" s="94"/>
      <c r="H866" s="102"/>
      <c r="I866" s="94"/>
      <c r="J866" s="94"/>
      <c r="K866" s="94"/>
    </row>
    <row r="867" spans="3:11" x14ac:dyDescent="0.25">
      <c r="C867" s="102"/>
      <c r="D867" s="100"/>
      <c r="E867" s="98"/>
      <c r="F867" s="94"/>
      <c r="G867" s="94"/>
      <c r="H867" s="102"/>
      <c r="I867" s="94"/>
      <c r="J867" s="94"/>
      <c r="K867" s="94"/>
    </row>
    <row r="868" spans="3:11" x14ac:dyDescent="0.25">
      <c r="C868" s="102"/>
      <c r="D868" s="100"/>
      <c r="E868" s="98"/>
      <c r="F868" s="94"/>
      <c r="G868" s="94"/>
      <c r="H868" s="102"/>
      <c r="I868" s="94"/>
      <c r="J868" s="94"/>
      <c r="K868" s="94"/>
    </row>
    <row r="869" spans="3:11" x14ac:dyDescent="0.25">
      <c r="C869" s="102"/>
      <c r="D869" s="100"/>
      <c r="E869" s="98"/>
      <c r="F869" s="94"/>
      <c r="G869" s="94"/>
      <c r="H869" s="102"/>
      <c r="I869" s="94"/>
      <c r="J869" s="94"/>
      <c r="K869" s="94"/>
    </row>
    <row r="870" spans="3:11" x14ac:dyDescent="0.25">
      <c r="C870" s="102"/>
      <c r="D870" s="100"/>
      <c r="E870" s="98"/>
      <c r="F870" s="94"/>
      <c r="G870" s="94"/>
      <c r="H870" s="102"/>
      <c r="I870" s="94"/>
      <c r="J870" s="94"/>
      <c r="K870" s="94"/>
    </row>
    <row r="871" spans="3:11" x14ac:dyDescent="0.25">
      <c r="C871" s="102"/>
      <c r="D871" s="100"/>
      <c r="E871" s="98"/>
      <c r="F871" s="94"/>
      <c r="G871" s="94"/>
      <c r="H871" s="102"/>
      <c r="I871" s="94"/>
      <c r="J871" s="94"/>
      <c r="K871" s="94"/>
    </row>
    <row r="872" spans="3:11" x14ac:dyDescent="0.25">
      <c r="C872" s="119"/>
      <c r="D872" s="100"/>
      <c r="E872" s="98"/>
      <c r="F872" s="94"/>
      <c r="G872" s="94"/>
      <c r="H872" s="102"/>
      <c r="I872" s="94"/>
      <c r="J872" s="94"/>
      <c r="K872" s="94"/>
    </row>
    <row r="873" spans="3:11" x14ac:dyDescent="0.25">
      <c r="D873" s="100"/>
      <c r="E873" s="98"/>
      <c r="F873" s="94"/>
      <c r="G873" s="94"/>
      <c r="H873" s="102"/>
      <c r="I873" s="94"/>
      <c r="J873" s="94"/>
      <c r="K873" s="94"/>
    </row>
    <row r="874" spans="3:11" x14ac:dyDescent="0.25">
      <c r="D874" s="100"/>
      <c r="E874" s="98"/>
      <c r="F874" s="94"/>
      <c r="G874" s="94"/>
      <c r="H874" s="102"/>
      <c r="I874" s="94"/>
      <c r="J874" s="94"/>
      <c r="K874" s="94"/>
    </row>
    <row r="875" spans="3:11" x14ac:dyDescent="0.25">
      <c r="D875" s="100"/>
      <c r="E875" s="98"/>
      <c r="F875" s="94"/>
      <c r="G875" s="94"/>
      <c r="I875" s="94"/>
      <c r="J875" s="94"/>
      <c r="K875" s="94"/>
    </row>
    <row r="876" spans="3:11" x14ac:dyDescent="0.25">
      <c r="C876" s="119"/>
      <c r="D876" s="100"/>
      <c r="E876" s="98"/>
      <c r="F876" s="94"/>
      <c r="G876" s="94"/>
      <c r="H876" s="119"/>
      <c r="I876" s="94"/>
      <c r="J876" s="94"/>
      <c r="K876" s="94"/>
    </row>
    <row r="877" spans="3:11" x14ac:dyDescent="0.25">
      <c r="C877" s="102"/>
      <c r="D877" s="100"/>
      <c r="E877" s="98"/>
      <c r="F877" s="94"/>
      <c r="G877" s="94"/>
      <c r="H877" s="102"/>
      <c r="I877" s="94"/>
      <c r="J877" s="94"/>
      <c r="K877" s="94"/>
    </row>
    <row r="878" spans="3:11" x14ac:dyDescent="0.25">
      <c r="C878" s="102"/>
      <c r="D878" s="100"/>
      <c r="E878" s="98"/>
      <c r="F878" s="94"/>
      <c r="G878" s="94"/>
      <c r="H878" s="102"/>
      <c r="I878" s="94"/>
      <c r="J878" s="94"/>
      <c r="K878" s="94"/>
    </row>
    <row r="879" spans="3:11" x14ac:dyDescent="0.25">
      <c r="C879" s="102"/>
      <c r="D879" s="100"/>
      <c r="E879" s="98"/>
      <c r="F879" s="94"/>
      <c r="G879" s="94"/>
      <c r="H879" s="102"/>
      <c r="I879" s="94"/>
      <c r="J879" s="94"/>
      <c r="K879" s="94"/>
    </row>
    <row r="880" spans="3:11" x14ac:dyDescent="0.25">
      <c r="C880" s="102"/>
      <c r="D880" s="100"/>
      <c r="E880" s="98"/>
      <c r="F880" s="94"/>
      <c r="G880" s="94"/>
      <c r="H880" s="102"/>
      <c r="I880" s="94"/>
      <c r="J880" s="94"/>
      <c r="K880" s="94"/>
    </row>
    <row r="881" spans="3:11" x14ac:dyDescent="0.25">
      <c r="C881" s="102"/>
      <c r="D881" s="100"/>
      <c r="E881" s="98"/>
      <c r="F881" s="94"/>
      <c r="G881" s="94"/>
      <c r="H881" s="102"/>
      <c r="I881" s="94"/>
      <c r="J881" s="94"/>
      <c r="K881" s="94"/>
    </row>
    <row r="882" spans="3:11" x14ac:dyDescent="0.25">
      <c r="C882" s="102"/>
      <c r="D882" s="100"/>
      <c r="E882" s="98"/>
      <c r="F882" s="94"/>
      <c r="G882" s="94"/>
      <c r="H882" s="102"/>
      <c r="I882" s="94"/>
      <c r="J882" s="94"/>
      <c r="K882" s="94"/>
    </row>
    <row r="883" spans="3:11" x14ac:dyDescent="0.25">
      <c r="C883" s="102"/>
      <c r="D883" s="100"/>
      <c r="E883" s="98"/>
      <c r="F883" s="94"/>
      <c r="G883" s="94"/>
      <c r="H883" s="102"/>
      <c r="I883" s="94"/>
      <c r="J883" s="94"/>
      <c r="K883" s="94"/>
    </row>
    <row r="884" spans="3:11" x14ac:dyDescent="0.25">
      <c r="C884" s="102"/>
      <c r="D884" s="100"/>
      <c r="E884" s="98"/>
      <c r="F884" s="94"/>
      <c r="G884" s="94"/>
      <c r="H884" s="102"/>
      <c r="I884" s="94"/>
      <c r="J884" s="94"/>
      <c r="K884" s="94"/>
    </row>
    <row r="885" spans="3:11" x14ac:dyDescent="0.25">
      <c r="C885" s="102"/>
      <c r="D885" s="100"/>
      <c r="E885" s="98"/>
      <c r="F885" s="94"/>
      <c r="G885" s="94"/>
      <c r="H885" s="102"/>
      <c r="I885" s="94"/>
      <c r="J885" s="94"/>
      <c r="K885" s="94"/>
    </row>
    <row r="886" spans="3:11" x14ac:dyDescent="0.25">
      <c r="C886" s="102"/>
      <c r="D886" s="100"/>
      <c r="E886" s="98"/>
      <c r="F886" s="94"/>
      <c r="G886" s="94"/>
      <c r="H886" s="102"/>
      <c r="I886" s="94"/>
      <c r="J886" s="94"/>
      <c r="K886" s="94"/>
    </row>
    <row r="887" spans="3:11" x14ac:dyDescent="0.25">
      <c r="C887" s="118"/>
      <c r="D887" s="100"/>
      <c r="E887" s="98"/>
      <c r="F887" s="94"/>
      <c r="G887" s="94"/>
      <c r="H887" s="102"/>
      <c r="I887" s="94"/>
      <c r="J887" s="94"/>
      <c r="K887" s="94"/>
    </row>
    <row r="888" spans="3:11" x14ac:dyDescent="0.25">
      <c r="C888" s="102"/>
      <c r="D888" s="100"/>
      <c r="E888" s="98"/>
      <c r="F888" s="94"/>
      <c r="G888" s="94"/>
      <c r="H888" s="102"/>
      <c r="I888" s="94"/>
      <c r="J888" s="94"/>
      <c r="K888" s="94"/>
    </row>
    <row r="889" spans="3:11" x14ac:dyDescent="0.25">
      <c r="C889" s="102"/>
      <c r="D889" s="100"/>
      <c r="E889" s="98"/>
      <c r="F889" s="94"/>
      <c r="G889" s="94"/>
      <c r="H889" s="102"/>
      <c r="I889" s="94"/>
      <c r="J889" s="94"/>
      <c r="K889" s="94"/>
    </row>
    <row r="890" spans="3:11" x14ac:dyDescent="0.25">
      <c r="C890" s="102"/>
      <c r="D890" s="100"/>
      <c r="E890" s="98"/>
      <c r="F890" s="94"/>
      <c r="G890" s="94"/>
      <c r="H890" s="102"/>
      <c r="I890" s="94"/>
      <c r="J890" s="94"/>
      <c r="K890" s="94"/>
    </row>
    <row r="891" spans="3:11" x14ac:dyDescent="0.25">
      <c r="C891" s="102"/>
      <c r="D891" s="100"/>
      <c r="E891" s="98"/>
      <c r="F891" s="94"/>
      <c r="G891" s="94"/>
      <c r="H891" s="102"/>
      <c r="I891" s="94"/>
      <c r="J891" s="94"/>
      <c r="K891" s="94"/>
    </row>
    <row r="892" spans="3:11" x14ac:dyDescent="0.25">
      <c r="C892" s="102"/>
      <c r="D892" s="100"/>
      <c r="E892" s="98"/>
      <c r="F892" s="94"/>
      <c r="G892" s="94"/>
      <c r="H892" s="102"/>
      <c r="I892" s="94"/>
      <c r="J892" s="94"/>
      <c r="K892" s="94"/>
    </row>
    <row r="893" spans="3:11" x14ac:dyDescent="0.25">
      <c r="C893" s="102"/>
      <c r="D893" s="100"/>
      <c r="E893" s="98"/>
      <c r="F893" s="94"/>
      <c r="G893" s="94"/>
      <c r="H893" s="102"/>
      <c r="I893" s="94"/>
      <c r="J893" s="94"/>
      <c r="K893" s="94"/>
    </row>
    <row r="894" spans="3:11" x14ac:dyDescent="0.25">
      <c r="D894" s="100"/>
      <c r="E894" s="98"/>
      <c r="F894" s="94"/>
      <c r="G894" s="94"/>
      <c r="H894" s="102"/>
      <c r="I894" s="94"/>
      <c r="J894" s="94"/>
      <c r="K894" s="94"/>
    </row>
    <row r="895" spans="3:11" x14ac:dyDescent="0.25">
      <c r="D895" s="100"/>
      <c r="E895" s="98"/>
      <c r="F895" s="94"/>
      <c r="G895" s="94"/>
      <c r="H895" s="102"/>
      <c r="I895" s="94"/>
      <c r="J895" s="94"/>
      <c r="K895" s="94"/>
    </row>
    <row r="896" spans="3:11" x14ac:dyDescent="0.25">
      <c r="D896" s="100"/>
      <c r="E896" s="98"/>
      <c r="F896" s="94"/>
      <c r="G896" s="94"/>
      <c r="H896" s="102"/>
      <c r="I896" s="94"/>
      <c r="J896" s="94"/>
      <c r="K896" s="94"/>
    </row>
    <row r="897" spans="3:11" x14ac:dyDescent="0.25">
      <c r="D897" s="100"/>
      <c r="E897" s="98"/>
      <c r="F897" s="94"/>
      <c r="G897" s="94"/>
      <c r="H897" s="102"/>
      <c r="I897" s="94"/>
      <c r="J897" s="94"/>
      <c r="K897" s="94"/>
    </row>
    <row r="898" spans="3:11" x14ac:dyDescent="0.25">
      <c r="C898" s="102"/>
      <c r="D898" s="100"/>
      <c r="E898" s="98"/>
      <c r="F898" s="94"/>
      <c r="G898" s="94"/>
      <c r="H898" s="102"/>
      <c r="I898" s="94"/>
      <c r="J898" s="94"/>
      <c r="K898" s="94"/>
    </row>
    <row r="899" spans="3:11" x14ac:dyDescent="0.25">
      <c r="C899" s="102"/>
      <c r="D899" s="100"/>
      <c r="E899" s="98"/>
      <c r="F899" s="94"/>
      <c r="G899" s="94"/>
      <c r="H899" s="102"/>
      <c r="I899" s="94"/>
      <c r="J899" s="94"/>
      <c r="K899" s="94"/>
    </row>
    <row r="900" spans="3:11" x14ac:dyDescent="0.25">
      <c r="D900" s="100"/>
      <c r="E900" s="98"/>
      <c r="F900" s="94"/>
      <c r="G900" s="94"/>
      <c r="I900" s="94"/>
      <c r="J900" s="94"/>
      <c r="K900" s="94"/>
    </row>
    <row r="901" spans="3:11" x14ac:dyDescent="0.25">
      <c r="D901" s="100"/>
      <c r="E901" s="98"/>
      <c r="F901" s="94"/>
      <c r="G901" s="94"/>
      <c r="H901" s="102"/>
      <c r="I901" s="94"/>
      <c r="J901" s="94"/>
      <c r="K901" s="94"/>
    </row>
    <row r="902" spans="3:11" x14ac:dyDescent="0.25">
      <c r="D902" s="100"/>
      <c r="E902" s="98"/>
      <c r="F902" s="94"/>
      <c r="G902" s="94"/>
      <c r="H902" s="102"/>
      <c r="I902" s="94"/>
      <c r="J902" s="94"/>
      <c r="K902" s="94"/>
    </row>
    <row r="903" spans="3:11" x14ac:dyDescent="0.25">
      <c r="C903" s="120"/>
      <c r="D903" s="100"/>
      <c r="E903" s="98"/>
      <c r="F903" s="94"/>
      <c r="G903" s="94"/>
      <c r="H903" s="102"/>
      <c r="I903" s="94"/>
      <c r="J903" s="94"/>
      <c r="K903" s="94"/>
    </row>
    <row r="904" spans="3:11" x14ac:dyDescent="0.25">
      <c r="D904" s="100"/>
      <c r="E904" s="98"/>
      <c r="F904" s="94"/>
      <c r="G904" s="94"/>
      <c r="H904" s="102"/>
      <c r="I904" s="94"/>
      <c r="J904" s="94"/>
      <c r="K904" s="94"/>
    </row>
    <row r="905" spans="3:11" x14ac:dyDescent="0.25">
      <c r="D905" s="100"/>
      <c r="E905" s="98"/>
      <c r="F905" s="94"/>
      <c r="G905" s="94"/>
      <c r="H905" s="102"/>
      <c r="I905" s="94"/>
      <c r="J905" s="94"/>
      <c r="K905" s="94"/>
    </row>
    <row r="906" spans="3:11" x14ac:dyDescent="0.25">
      <c r="D906" s="100"/>
      <c r="E906" s="98"/>
      <c r="F906" s="94"/>
      <c r="G906" s="94"/>
      <c r="H906" s="102"/>
      <c r="I906" s="94"/>
      <c r="J906" s="94"/>
      <c r="K906" s="94"/>
    </row>
    <row r="907" spans="3:11" x14ac:dyDescent="0.25">
      <c r="C907" s="120"/>
      <c r="D907" s="100"/>
      <c r="E907" s="98"/>
      <c r="F907" s="94"/>
      <c r="G907" s="94"/>
      <c r="H907" s="102"/>
      <c r="I907" s="94"/>
      <c r="J907" s="94"/>
      <c r="K907" s="94"/>
    </row>
    <row r="908" spans="3:11" x14ac:dyDescent="0.25">
      <c r="D908" s="100"/>
      <c r="E908" s="98"/>
      <c r="F908" s="94"/>
      <c r="G908" s="94"/>
      <c r="H908" s="102"/>
      <c r="I908" s="94"/>
      <c r="J908" s="94"/>
      <c r="K908" s="94"/>
    </row>
    <row r="909" spans="3:11" x14ac:dyDescent="0.25">
      <c r="D909" s="100"/>
      <c r="E909" s="98"/>
      <c r="F909" s="94"/>
      <c r="G909" s="94"/>
      <c r="H909" s="102"/>
      <c r="I909" s="94"/>
      <c r="J909" s="94"/>
      <c r="K909" s="94"/>
    </row>
    <row r="910" spans="3:11" x14ac:dyDescent="0.25">
      <c r="D910" s="100"/>
      <c r="E910" s="98"/>
      <c r="F910" s="94"/>
      <c r="G910" s="94"/>
      <c r="H910" s="102"/>
      <c r="I910" s="94"/>
      <c r="J910" s="94"/>
      <c r="K910" s="94"/>
    </row>
    <row r="911" spans="3:11" x14ac:dyDescent="0.25">
      <c r="D911" s="100"/>
      <c r="E911" s="98"/>
      <c r="F911" s="94"/>
      <c r="G911" s="94"/>
      <c r="H911" s="102"/>
      <c r="I911" s="94"/>
      <c r="J911" s="94"/>
      <c r="K911" s="94"/>
    </row>
    <row r="912" spans="3:11" x14ac:dyDescent="0.25">
      <c r="C912" s="102"/>
      <c r="D912" s="100"/>
      <c r="E912" s="98"/>
      <c r="F912" s="94"/>
      <c r="G912" s="94"/>
      <c r="H912" s="119"/>
      <c r="I912" s="94"/>
      <c r="J912" s="94"/>
      <c r="K912" s="94"/>
    </row>
    <row r="913" spans="3:11" x14ac:dyDescent="0.25">
      <c r="D913" s="100"/>
      <c r="E913" s="98"/>
      <c r="F913" s="94"/>
      <c r="G913" s="94"/>
      <c r="H913" s="102"/>
      <c r="I913" s="94"/>
      <c r="J913" s="94"/>
      <c r="K913" s="94"/>
    </row>
    <row r="914" spans="3:11" x14ac:dyDescent="0.25">
      <c r="C914" s="120"/>
      <c r="D914" s="100"/>
      <c r="E914" s="98"/>
      <c r="F914" s="94"/>
      <c r="G914" s="94"/>
      <c r="H914" s="102"/>
      <c r="I914" s="94"/>
      <c r="J914" s="94"/>
      <c r="K914" s="94"/>
    </row>
    <row r="915" spans="3:11" x14ac:dyDescent="0.25">
      <c r="D915" s="100"/>
      <c r="E915" s="98"/>
      <c r="F915" s="94"/>
      <c r="G915" s="94"/>
      <c r="H915" s="102"/>
      <c r="I915" s="94"/>
      <c r="J915" s="94"/>
      <c r="K915" s="94"/>
    </row>
    <row r="916" spans="3:11" x14ac:dyDescent="0.25">
      <c r="D916" s="100"/>
      <c r="E916" s="98"/>
      <c r="F916" s="94"/>
      <c r="G916" s="94"/>
      <c r="H916" s="102"/>
      <c r="I916" s="94"/>
      <c r="J916" s="94"/>
      <c r="K916" s="94"/>
    </row>
    <row r="917" spans="3:11" x14ac:dyDescent="0.25">
      <c r="D917" s="100"/>
      <c r="E917" s="98"/>
      <c r="F917" s="94"/>
      <c r="G917" s="94"/>
      <c r="H917" s="102"/>
      <c r="I917" s="94"/>
      <c r="J917" s="94"/>
      <c r="K917" s="94"/>
    </row>
    <row r="918" spans="3:11" x14ac:dyDescent="0.25">
      <c r="D918" s="100"/>
      <c r="E918" s="98"/>
      <c r="F918" s="94"/>
      <c r="G918" s="94"/>
      <c r="H918" s="102"/>
      <c r="I918" s="94"/>
      <c r="J918" s="94"/>
      <c r="K918" s="94"/>
    </row>
    <row r="919" spans="3:11" x14ac:dyDescent="0.25">
      <c r="C919" s="120"/>
      <c r="D919" s="100"/>
      <c r="E919" s="98"/>
      <c r="F919" s="94"/>
      <c r="G919" s="94"/>
      <c r="H919" s="102"/>
      <c r="I919" s="94"/>
      <c r="J919" s="94"/>
      <c r="K919" s="94"/>
    </row>
    <row r="920" spans="3:11" x14ac:dyDescent="0.25">
      <c r="D920" s="100"/>
      <c r="E920" s="98"/>
      <c r="F920" s="94"/>
      <c r="G920" s="94"/>
      <c r="H920" s="102"/>
      <c r="I920" s="94"/>
      <c r="J920" s="94"/>
      <c r="K920" s="94"/>
    </row>
    <row r="921" spans="3:11" x14ac:dyDescent="0.25">
      <c r="C921" s="121"/>
      <c r="D921" s="100"/>
      <c r="E921" s="98"/>
      <c r="F921" s="94"/>
      <c r="G921" s="94"/>
      <c r="H921" s="122"/>
      <c r="I921" s="94"/>
      <c r="J921" s="94"/>
      <c r="K921" s="94"/>
    </row>
    <row r="922" spans="3:11" x14ac:dyDescent="0.25">
      <c r="C922" s="121"/>
      <c r="D922" s="100"/>
      <c r="E922" s="98"/>
      <c r="F922" s="94"/>
      <c r="G922" s="94"/>
      <c r="H922" s="122"/>
      <c r="I922" s="94"/>
      <c r="J922" s="94"/>
      <c r="K922" s="94"/>
    </row>
    <row r="923" spans="3:11" x14ac:dyDescent="0.25">
      <c r="C923" s="121"/>
      <c r="D923" s="100"/>
      <c r="E923" s="98"/>
      <c r="F923" s="94"/>
      <c r="G923" s="94"/>
      <c r="H923" s="122"/>
      <c r="I923" s="94"/>
      <c r="J923" s="94"/>
      <c r="K923" s="94"/>
    </row>
    <row r="924" spans="3:11" x14ac:dyDescent="0.25">
      <c r="C924" s="121"/>
      <c r="D924" s="100"/>
      <c r="E924" s="98"/>
      <c r="F924" s="94"/>
      <c r="G924" s="94"/>
      <c r="H924" s="122"/>
      <c r="I924" s="94"/>
      <c r="J924" s="94"/>
      <c r="K924" s="94"/>
    </row>
    <row r="925" spans="3:11" x14ac:dyDescent="0.25">
      <c r="C925" s="121"/>
      <c r="D925" s="100"/>
      <c r="E925" s="98"/>
      <c r="F925" s="94"/>
      <c r="G925" s="94"/>
      <c r="H925" s="122"/>
      <c r="I925" s="94"/>
      <c r="J925" s="94"/>
      <c r="K925" s="94"/>
    </row>
    <row r="926" spans="3:11" x14ac:dyDescent="0.25">
      <c r="C926" s="121"/>
      <c r="D926" s="100"/>
      <c r="E926" s="98"/>
      <c r="F926" s="94"/>
      <c r="G926" s="94"/>
      <c r="H926" s="122"/>
      <c r="I926" s="94"/>
      <c r="J926" s="94"/>
      <c r="K926" s="94"/>
    </row>
    <row r="927" spans="3:11" x14ac:dyDescent="0.25">
      <c r="C927" s="121"/>
      <c r="D927" s="100"/>
      <c r="E927" s="98"/>
      <c r="F927" s="94"/>
      <c r="G927" s="94"/>
      <c r="H927" s="122"/>
      <c r="I927" s="94"/>
      <c r="J927" s="94"/>
      <c r="K927" s="94"/>
    </row>
    <row r="928" spans="3:11" x14ac:dyDescent="0.25">
      <c r="C928" s="121"/>
      <c r="D928" s="100"/>
      <c r="E928" s="98"/>
      <c r="F928" s="94"/>
      <c r="G928" s="94"/>
      <c r="H928" s="122"/>
      <c r="I928" s="94"/>
      <c r="J928" s="94"/>
      <c r="K928" s="94"/>
    </row>
    <row r="929" spans="3:11" x14ac:dyDescent="0.25">
      <c r="C929" s="121"/>
      <c r="D929" s="100"/>
      <c r="E929" s="98"/>
      <c r="F929" s="94"/>
      <c r="G929" s="94"/>
      <c r="H929" s="122"/>
      <c r="I929" s="94"/>
      <c r="J929" s="94"/>
      <c r="K929" s="94"/>
    </row>
    <row r="930" spans="3:11" x14ac:dyDescent="0.25">
      <c r="C930" s="121"/>
      <c r="D930" s="100"/>
      <c r="E930" s="98"/>
      <c r="F930" s="94"/>
      <c r="G930" s="94"/>
      <c r="H930" s="122"/>
      <c r="I930" s="94"/>
      <c r="J930" s="94"/>
      <c r="K930" s="94"/>
    </row>
    <row r="931" spans="3:11" x14ac:dyDescent="0.25">
      <c r="C931" s="121"/>
      <c r="D931" s="100"/>
      <c r="E931" s="98"/>
      <c r="F931" s="94"/>
      <c r="G931" s="94"/>
      <c r="H931" s="122"/>
      <c r="I931" s="94"/>
      <c r="J931" s="94"/>
      <c r="K931" s="94"/>
    </row>
    <row r="932" spans="3:11" x14ac:dyDescent="0.25">
      <c r="C932" s="121"/>
      <c r="D932" s="100"/>
      <c r="E932" s="98"/>
      <c r="F932" s="94"/>
      <c r="G932" s="94"/>
      <c r="H932" s="122"/>
      <c r="I932" s="94"/>
      <c r="J932" s="94"/>
      <c r="K932" s="94"/>
    </row>
    <row r="933" spans="3:11" x14ac:dyDescent="0.25">
      <c r="C933" s="121"/>
      <c r="D933" s="100"/>
      <c r="E933" s="98"/>
      <c r="F933" s="94"/>
      <c r="G933" s="94"/>
      <c r="H933" s="122"/>
      <c r="I933" s="94"/>
      <c r="J933" s="94"/>
      <c r="K933" s="94"/>
    </row>
    <row r="934" spans="3:11" x14ac:dyDescent="0.25">
      <c r="C934" s="121"/>
      <c r="D934" s="100"/>
      <c r="E934" s="98"/>
      <c r="F934" s="94"/>
      <c r="G934" s="94"/>
      <c r="H934" s="122"/>
      <c r="I934" s="94"/>
      <c r="J934" s="94"/>
      <c r="K934" s="94"/>
    </row>
    <row r="935" spans="3:11" x14ac:dyDescent="0.25">
      <c r="C935" s="121"/>
      <c r="D935" s="100"/>
      <c r="E935" s="98"/>
      <c r="F935" s="94"/>
      <c r="G935" s="94"/>
      <c r="H935" s="122"/>
      <c r="I935" s="94"/>
      <c r="J935" s="94"/>
      <c r="K935" s="94"/>
    </row>
    <row r="936" spans="3:11" x14ac:dyDescent="0.25">
      <c r="C936" s="121"/>
      <c r="D936" s="100"/>
      <c r="E936" s="98"/>
      <c r="F936" s="94"/>
      <c r="G936" s="94"/>
      <c r="H936" s="122"/>
      <c r="I936" s="94"/>
      <c r="J936" s="94"/>
      <c r="K936" s="94"/>
    </row>
    <row r="937" spans="3:11" x14ac:dyDescent="0.25">
      <c r="C937" s="121"/>
      <c r="D937" s="100"/>
      <c r="E937" s="98"/>
      <c r="F937" s="94"/>
      <c r="G937" s="94"/>
      <c r="H937" s="122"/>
      <c r="I937" s="94"/>
      <c r="J937" s="94"/>
      <c r="K937" s="94"/>
    </row>
    <row r="938" spans="3:11" x14ac:dyDescent="0.25">
      <c r="C938" s="121"/>
      <c r="D938" s="100"/>
      <c r="E938" s="98"/>
      <c r="F938" s="94"/>
      <c r="G938" s="94"/>
      <c r="H938" s="122"/>
      <c r="I938" s="94"/>
      <c r="J938" s="94"/>
      <c r="K938" s="94"/>
    </row>
    <row r="939" spans="3:11" x14ac:dyDescent="0.25">
      <c r="C939" s="121"/>
      <c r="D939" s="100"/>
      <c r="E939" s="98"/>
      <c r="F939" s="94"/>
      <c r="G939" s="94"/>
      <c r="H939" s="122"/>
      <c r="I939" s="94"/>
      <c r="J939" s="94"/>
      <c r="K939" s="94"/>
    </row>
    <row r="940" spans="3:11" x14ac:dyDescent="0.25">
      <c r="C940" s="121"/>
      <c r="D940" s="100"/>
      <c r="E940" s="98"/>
      <c r="F940" s="94"/>
      <c r="G940" s="94"/>
      <c r="H940" s="122"/>
      <c r="I940" s="94"/>
      <c r="J940" s="94"/>
      <c r="K940" s="94"/>
    </row>
    <row r="941" spans="3:11" x14ac:dyDescent="0.25">
      <c r="C941" s="121"/>
      <c r="D941" s="100"/>
      <c r="E941" s="98"/>
      <c r="F941" s="94"/>
      <c r="G941" s="94"/>
      <c r="H941" s="122"/>
      <c r="I941" s="94"/>
      <c r="J941" s="94"/>
      <c r="K941" s="94"/>
    </row>
    <row r="942" spans="3:11" x14ac:dyDescent="0.25">
      <c r="C942" s="121"/>
      <c r="D942" s="100"/>
      <c r="E942" s="98"/>
      <c r="F942" s="94"/>
      <c r="G942" s="94"/>
      <c r="H942" s="122"/>
      <c r="I942" s="94"/>
      <c r="J942" s="94"/>
      <c r="K942" s="94"/>
    </row>
    <row r="943" spans="3:11" x14ac:dyDescent="0.25">
      <c r="C943" s="121"/>
      <c r="D943" s="100"/>
      <c r="E943" s="98"/>
      <c r="F943" s="94"/>
      <c r="G943" s="94"/>
      <c r="H943" s="122"/>
      <c r="I943" s="94"/>
      <c r="J943" s="94"/>
      <c r="K943" s="94"/>
    </row>
    <row r="944" spans="3:11" x14ac:dyDescent="0.25">
      <c r="C944" s="121"/>
      <c r="D944" s="100"/>
      <c r="E944" s="98"/>
      <c r="F944" s="94"/>
      <c r="G944" s="94"/>
      <c r="H944" s="122"/>
      <c r="I944" s="94"/>
      <c r="J944" s="94"/>
      <c r="K944" s="94"/>
    </row>
    <row r="945" spans="3:11" x14ac:dyDescent="0.25">
      <c r="C945" s="121"/>
      <c r="D945" s="100"/>
      <c r="E945" s="98"/>
      <c r="F945" s="94"/>
      <c r="G945" s="94"/>
      <c r="H945" s="122"/>
      <c r="I945" s="94"/>
      <c r="J945" s="94"/>
      <c r="K945" s="94"/>
    </row>
    <row r="946" spans="3:11" x14ac:dyDescent="0.25">
      <c r="C946" s="121"/>
      <c r="D946" s="100"/>
      <c r="E946" s="98"/>
      <c r="F946" s="94"/>
      <c r="G946" s="94"/>
      <c r="H946" s="122"/>
      <c r="I946" s="94"/>
      <c r="J946" s="94"/>
      <c r="K946" s="94"/>
    </row>
    <row r="947" spans="3:11" x14ac:dyDescent="0.25">
      <c r="C947" s="121"/>
      <c r="D947" s="100"/>
      <c r="E947" s="98"/>
      <c r="F947" s="94"/>
      <c r="G947" s="94"/>
      <c r="H947" s="122"/>
      <c r="I947" s="94"/>
      <c r="J947" s="94"/>
      <c r="K947" s="94"/>
    </row>
    <row r="948" spans="3:11" x14ac:dyDescent="0.25">
      <c r="C948" s="121"/>
      <c r="D948" s="100"/>
      <c r="E948" s="98"/>
      <c r="F948" s="94"/>
      <c r="G948" s="94"/>
      <c r="H948" s="122"/>
      <c r="I948" s="94"/>
      <c r="J948" s="94"/>
      <c r="K948" s="94"/>
    </row>
    <row r="949" spans="3:11" x14ac:dyDescent="0.25">
      <c r="C949" s="121"/>
      <c r="D949" s="100"/>
      <c r="E949" s="98"/>
      <c r="F949" s="94"/>
      <c r="G949" s="94"/>
      <c r="H949" s="122"/>
      <c r="I949" s="94"/>
      <c r="J949" s="94"/>
      <c r="K949" s="94"/>
    </row>
    <row r="950" spans="3:11" x14ac:dyDescent="0.25">
      <c r="C950" s="121"/>
      <c r="D950" s="100"/>
      <c r="E950" s="98"/>
      <c r="F950" s="94"/>
      <c r="G950" s="94"/>
      <c r="H950" s="122"/>
      <c r="I950" s="94"/>
      <c r="J950" s="94"/>
      <c r="K950" s="94"/>
    </row>
    <row r="951" spans="3:11" x14ac:dyDescent="0.25">
      <c r="C951" s="121"/>
      <c r="D951" s="100"/>
      <c r="E951" s="98"/>
      <c r="F951" s="94"/>
      <c r="G951" s="94"/>
      <c r="H951" s="122"/>
      <c r="I951" s="94"/>
      <c r="J951" s="94"/>
      <c r="K951" s="94"/>
    </row>
    <row r="952" spans="3:11" x14ac:dyDescent="0.25">
      <c r="C952" s="121"/>
      <c r="D952" s="100"/>
      <c r="E952" s="98"/>
      <c r="F952" s="94"/>
      <c r="G952" s="94"/>
      <c r="H952" s="122"/>
      <c r="I952" s="94"/>
      <c r="J952" s="94"/>
      <c r="K952" s="94"/>
    </row>
    <row r="953" spans="3:11" x14ac:dyDescent="0.25">
      <c r="C953" s="121"/>
      <c r="D953" s="100"/>
      <c r="E953" s="98"/>
      <c r="F953" s="94"/>
      <c r="G953" s="94"/>
      <c r="H953" s="122"/>
      <c r="I953" s="94"/>
      <c r="J953" s="94"/>
      <c r="K953" s="94"/>
    </row>
    <row r="954" spans="3:11" x14ac:dyDescent="0.25">
      <c r="C954" s="121"/>
      <c r="D954" s="100"/>
      <c r="E954" s="98"/>
      <c r="F954" s="94"/>
      <c r="G954" s="94"/>
      <c r="H954" s="122"/>
      <c r="I954" s="94"/>
      <c r="J954" s="94"/>
      <c r="K954" s="94"/>
    </row>
    <row r="955" spans="3:11" x14ac:dyDescent="0.25">
      <c r="C955" s="121"/>
      <c r="D955" s="100"/>
      <c r="E955" s="98"/>
      <c r="F955" s="94"/>
      <c r="G955" s="94"/>
      <c r="H955" s="122"/>
      <c r="I955" s="94"/>
      <c r="J955" s="94"/>
      <c r="K955" s="94"/>
    </row>
    <row r="956" spans="3:11" x14ac:dyDescent="0.25">
      <c r="C956" s="121"/>
      <c r="D956" s="100"/>
      <c r="E956" s="98"/>
      <c r="F956" s="94"/>
      <c r="G956" s="94"/>
      <c r="H956" s="122"/>
      <c r="I956" s="94"/>
      <c r="J956" s="94"/>
      <c r="K956" s="94"/>
    </row>
    <row r="957" spans="3:11" x14ac:dyDescent="0.25">
      <c r="C957" s="121"/>
      <c r="D957" s="100"/>
      <c r="E957" s="98"/>
      <c r="F957" s="94"/>
      <c r="G957" s="94"/>
      <c r="H957" s="122"/>
      <c r="I957" s="94"/>
      <c r="J957" s="94"/>
      <c r="K957" s="94"/>
    </row>
    <row r="958" spans="3:11" x14ac:dyDescent="0.25">
      <c r="C958" s="121"/>
      <c r="D958" s="100"/>
      <c r="E958" s="98"/>
      <c r="F958" s="94"/>
      <c r="G958" s="94"/>
      <c r="H958" s="122"/>
      <c r="I958" s="94"/>
      <c r="J958" s="94"/>
      <c r="K958" s="94"/>
    </row>
    <row r="959" spans="3:11" x14ac:dyDescent="0.25">
      <c r="C959" s="121"/>
      <c r="D959" s="100"/>
      <c r="E959" s="98"/>
      <c r="F959" s="94"/>
      <c r="G959" s="94"/>
      <c r="H959" s="122"/>
      <c r="I959" s="94"/>
      <c r="J959" s="94"/>
      <c r="K959" s="94"/>
    </row>
    <row r="960" spans="3:11" x14ac:dyDescent="0.25">
      <c r="C960" s="121"/>
      <c r="D960" s="100"/>
      <c r="E960" s="98"/>
      <c r="F960" s="94"/>
      <c r="G960" s="94"/>
      <c r="H960" s="122"/>
      <c r="I960" s="94"/>
      <c r="J960" s="94"/>
      <c r="K960" s="94"/>
    </row>
    <row r="961" spans="3:11" x14ac:dyDescent="0.25">
      <c r="C961" s="121"/>
      <c r="D961" s="100"/>
      <c r="E961" s="98"/>
      <c r="F961" s="94"/>
      <c r="G961" s="94"/>
      <c r="H961" s="122"/>
      <c r="I961" s="94"/>
      <c r="J961" s="94"/>
      <c r="K961" s="94"/>
    </row>
    <row r="962" spans="3:11" x14ac:dyDescent="0.25">
      <c r="C962" s="123"/>
      <c r="D962" s="100"/>
      <c r="E962" s="98"/>
      <c r="F962" s="94"/>
      <c r="G962" s="94"/>
      <c r="H962" s="124"/>
      <c r="I962" s="94"/>
      <c r="J962" s="94"/>
      <c r="K962" s="94"/>
    </row>
    <row r="963" spans="3:11" x14ac:dyDescent="0.25">
      <c r="C963" s="123"/>
      <c r="D963" s="100"/>
      <c r="E963" s="98"/>
      <c r="F963" s="94"/>
      <c r="G963" s="94"/>
      <c r="H963" s="124"/>
      <c r="I963" s="94"/>
      <c r="J963" s="94"/>
      <c r="K963" s="94"/>
    </row>
    <row r="964" spans="3:11" x14ac:dyDescent="0.25">
      <c r="C964" s="123"/>
      <c r="D964" s="100"/>
      <c r="E964" s="98"/>
      <c r="F964" s="94"/>
      <c r="G964" s="94"/>
      <c r="H964" s="124"/>
      <c r="I964" s="94"/>
      <c r="J964" s="94"/>
      <c r="K964" s="94"/>
    </row>
    <row r="965" spans="3:11" x14ac:dyDescent="0.25">
      <c r="C965" s="123"/>
      <c r="D965" s="100"/>
      <c r="E965" s="98"/>
      <c r="F965" s="94"/>
      <c r="G965" s="94"/>
      <c r="H965" s="124"/>
      <c r="I965" s="94"/>
      <c r="J965" s="94"/>
      <c r="K965" s="94"/>
    </row>
    <row r="966" spans="3:11" x14ac:dyDescent="0.25">
      <c r="C966" s="123"/>
      <c r="D966" s="100"/>
      <c r="E966" s="98"/>
      <c r="F966" s="94"/>
      <c r="G966" s="94"/>
      <c r="H966" s="124"/>
      <c r="I966" s="94"/>
      <c r="J966" s="94"/>
      <c r="K966" s="94"/>
    </row>
    <row r="967" spans="3:11" x14ac:dyDescent="0.25">
      <c r="C967" s="123"/>
      <c r="D967" s="100"/>
      <c r="E967" s="98"/>
      <c r="F967" s="94"/>
      <c r="G967" s="94"/>
      <c r="H967" s="124"/>
      <c r="I967" s="94"/>
      <c r="J967" s="94"/>
      <c r="K967" s="94"/>
    </row>
    <row r="968" spans="3:11" x14ac:dyDescent="0.25">
      <c r="C968" s="123"/>
      <c r="D968" s="100"/>
      <c r="E968" s="98"/>
      <c r="F968" s="94"/>
      <c r="G968" s="94"/>
      <c r="H968" s="124"/>
      <c r="I968" s="94"/>
      <c r="J968" s="94"/>
      <c r="K968" s="94"/>
    </row>
    <row r="969" spans="3:11" x14ac:dyDescent="0.25">
      <c r="C969" s="123"/>
      <c r="D969" s="100"/>
      <c r="E969" s="98"/>
      <c r="F969" s="94"/>
      <c r="G969" s="94"/>
      <c r="H969" s="124"/>
      <c r="I969" s="94"/>
      <c r="J969" s="94"/>
      <c r="K969" s="94"/>
    </row>
    <row r="970" spans="3:11" x14ac:dyDescent="0.25">
      <c r="C970" s="125"/>
      <c r="D970" s="100"/>
      <c r="E970" s="98"/>
      <c r="F970" s="94"/>
      <c r="G970" s="94"/>
      <c r="H970" s="94"/>
      <c r="I970" s="94"/>
      <c r="J970" s="94"/>
      <c r="K970" s="94"/>
    </row>
    <row r="971" spans="3:11" x14ac:dyDescent="0.25">
      <c r="C971" s="126"/>
      <c r="D971" s="100"/>
      <c r="E971" s="98"/>
      <c r="F971" s="94"/>
      <c r="G971" s="94"/>
      <c r="H971" s="127"/>
      <c r="I971" s="94"/>
      <c r="J971" s="94"/>
      <c r="K971" s="94"/>
    </row>
    <row r="972" spans="3:11" x14ac:dyDescent="0.25">
      <c r="C972" s="128"/>
      <c r="D972" s="100"/>
      <c r="E972" s="98"/>
      <c r="F972" s="94"/>
      <c r="G972" s="94"/>
      <c r="H972" s="94"/>
      <c r="I972" s="94"/>
      <c r="J972" s="94"/>
      <c r="K972" s="94"/>
    </row>
    <row r="973" spans="3:11" x14ac:dyDescent="0.25">
      <c r="C973" s="129"/>
      <c r="D973" s="100"/>
      <c r="E973" s="98"/>
      <c r="F973" s="94"/>
      <c r="G973" s="94"/>
      <c r="H973" s="94"/>
      <c r="I973" s="94"/>
      <c r="J973" s="94"/>
      <c r="K973" s="94"/>
    </row>
    <row r="974" spans="3:11" x14ac:dyDescent="0.25">
      <c r="C974" s="121"/>
      <c r="D974" s="100"/>
      <c r="E974" s="98"/>
      <c r="F974" s="94"/>
      <c r="G974" s="94"/>
      <c r="H974" s="122"/>
      <c r="I974" s="94"/>
      <c r="J974" s="94"/>
      <c r="K974" s="94"/>
    </row>
    <row r="975" spans="3:11" x14ac:dyDescent="0.25">
      <c r="C975" s="123"/>
      <c r="D975" s="100"/>
      <c r="E975" s="98"/>
      <c r="F975" s="94"/>
      <c r="G975" s="94"/>
      <c r="H975" s="124"/>
      <c r="I975" s="94"/>
      <c r="J975" s="94"/>
      <c r="K975" s="94"/>
    </row>
    <row r="976" spans="3:11" x14ac:dyDescent="0.25">
      <c r="C976" s="121"/>
      <c r="D976" s="100"/>
      <c r="E976" s="98"/>
      <c r="F976" s="94"/>
      <c r="G976" s="94"/>
      <c r="H976" s="122"/>
      <c r="I976" s="94"/>
      <c r="J976" s="94"/>
      <c r="K976" s="94"/>
    </row>
    <row r="977" spans="3:11" x14ac:dyDescent="0.25">
      <c r="C977" s="123"/>
      <c r="D977" s="100"/>
      <c r="E977" s="98"/>
      <c r="F977" s="94"/>
      <c r="G977" s="94"/>
      <c r="H977" s="124"/>
      <c r="I977" s="94"/>
      <c r="J977" s="94"/>
      <c r="K977" s="94"/>
    </row>
    <row r="978" spans="3:11" x14ac:dyDescent="0.25">
      <c r="C978" s="123"/>
      <c r="D978" s="100"/>
      <c r="E978" s="98"/>
      <c r="F978" s="94"/>
      <c r="G978" s="94"/>
      <c r="H978" s="124"/>
      <c r="I978" s="94"/>
      <c r="J978" s="94"/>
      <c r="K978" s="94"/>
    </row>
    <row r="979" spans="3:11" x14ac:dyDescent="0.25">
      <c r="C979" s="123"/>
      <c r="D979" s="100"/>
      <c r="E979" s="98"/>
      <c r="F979" s="94"/>
      <c r="G979" s="94"/>
      <c r="H979" s="124"/>
      <c r="I979" s="94"/>
      <c r="J979" s="94"/>
      <c r="K979" s="94"/>
    </row>
    <row r="980" spans="3:11" x14ac:dyDescent="0.25">
      <c r="C980" s="123"/>
      <c r="D980" s="100"/>
      <c r="E980" s="98"/>
      <c r="F980" s="94"/>
      <c r="G980" s="94"/>
      <c r="H980" s="124"/>
      <c r="I980" s="94"/>
      <c r="J980" s="94"/>
      <c r="K980" s="94"/>
    </row>
    <row r="981" spans="3:11" x14ac:dyDescent="0.25">
      <c r="C981" s="123"/>
      <c r="D981" s="100"/>
      <c r="E981" s="98"/>
      <c r="F981" s="94"/>
      <c r="G981" s="94"/>
      <c r="H981" s="124"/>
      <c r="I981" s="94"/>
      <c r="J981" s="94"/>
      <c r="K981" s="94"/>
    </row>
    <row r="982" spans="3:11" x14ac:dyDescent="0.25">
      <c r="C982" s="123"/>
      <c r="D982" s="100"/>
      <c r="E982" s="98"/>
      <c r="F982" s="94"/>
      <c r="G982" s="94"/>
      <c r="H982" s="124"/>
      <c r="I982" s="94"/>
      <c r="J982" s="94"/>
      <c r="K982" s="94"/>
    </row>
    <row r="983" spans="3:11" x14ac:dyDescent="0.25">
      <c r="C983" s="123"/>
      <c r="D983" s="100"/>
      <c r="E983" s="98"/>
      <c r="F983" s="94"/>
      <c r="G983" s="94"/>
      <c r="H983" s="124"/>
      <c r="I983" s="94"/>
      <c r="J983" s="94"/>
      <c r="K983" s="94"/>
    </row>
    <row r="984" spans="3:11" x14ac:dyDescent="0.25">
      <c r="C984" s="123"/>
      <c r="D984" s="100"/>
      <c r="E984" s="98"/>
      <c r="F984" s="94"/>
      <c r="G984" s="94"/>
      <c r="H984" s="124"/>
      <c r="I984" s="94"/>
      <c r="J984" s="94"/>
      <c r="K984" s="94"/>
    </row>
    <row r="985" spans="3:11" x14ac:dyDescent="0.25">
      <c r="C985" s="123"/>
      <c r="D985" s="100"/>
      <c r="E985" s="98"/>
      <c r="F985" s="94"/>
      <c r="G985" s="94"/>
      <c r="H985" s="124"/>
      <c r="I985" s="94"/>
      <c r="J985" s="94"/>
      <c r="K985" s="94"/>
    </row>
    <row r="986" spans="3:11" x14ac:dyDescent="0.25">
      <c r="C986" s="123"/>
      <c r="D986" s="100"/>
      <c r="E986" s="98"/>
      <c r="F986" s="94"/>
      <c r="G986" s="94"/>
      <c r="H986" s="124"/>
      <c r="I986" s="94"/>
      <c r="J986" s="94"/>
      <c r="K986" s="94"/>
    </row>
    <row r="987" spans="3:11" x14ac:dyDescent="0.25">
      <c r="C987" s="123"/>
      <c r="D987" s="100"/>
      <c r="E987" s="98"/>
      <c r="F987" s="94"/>
      <c r="G987" s="94"/>
      <c r="H987" s="124"/>
      <c r="I987" s="94"/>
      <c r="J987" s="94"/>
      <c r="K987" s="94"/>
    </row>
    <row r="988" spans="3:11" x14ac:dyDescent="0.25">
      <c r="C988" s="123"/>
      <c r="D988" s="100"/>
      <c r="E988" s="98"/>
      <c r="F988" s="94"/>
      <c r="G988" s="94"/>
      <c r="H988" s="124"/>
      <c r="I988" s="94"/>
      <c r="J988" s="94"/>
      <c r="K988" s="94"/>
    </row>
    <row r="989" spans="3:11" x14ac:dyDescent="0.25">
      <c r="C989" s="121"/>
      <c r="D989" s="100"/>
      <c r="E989" s="98"/>
      <c r="F989" s="94"/>
      <c r="G989" s="94"/>
      <c r="H989" s="122"/>
      <c r="I989" s="94"/>
      <c r="J989" s="94"/>
      <c r="K989" s="94"/>
    </row>
    <row r="990" spans="3:11" x14ac:dyDescent="0.25">
      <c r="C990" s="123"/>
      <c r="D990" s="100"/>
      <c r="E990" s="98"/>
      <c r="F990" s="94"/>
      <c r="G990" s="94"/>
      <c r="H990" s="124"/>
      <c r="I990" s="94"/>
      <c r="J990" s="94"/>
      <c r="K990" s="94"/>
    </row>
    <row r="991" spans="3:11" x14ac:dyDescent="0.25">
      <c r="C991" s="123"/>
      <c r="D991" s="100"/>
      <c r="E991" s="98"/>
      <c r="F991" s="94"/>
      <c r="G991" s="94"/>
      <c r="H991" s="124"/>
      <c r="I991" s="94"/>
      <c r="J991" s="94"/>
      <c r="K991" s="94"/>
    </row>
    <row r="992" spans="3:11" x14ac:dyDescent="0.25">
      <c r="C992" s="123"/>
      <c r="D992" s="100"/>
      <c r="E992" s="98"/>
      <c r="F992" s="94"/>
      <c r="G992" s="94"/>
      <c r="H992" s="124"/>
      <c r="I992" s="94"/>
      <c r="J992" s="94"/>
      <c r="K992" s="94"/>
    </row>
    <row r="993" spans="3:11" x14ac:dyDescent="0.25">
      <c r="C993" s="123"/>
      <c r="D993" s="100"/>
      <c r="E993" s="98"/>
      <c r="F993" s="94"/>
      <c r="G993" s="94"/>
      <c r="H993" s="124"/>
      <c r="I993" s="94"/>
      <c r="J993" s="94"/>
      <c r="K993" s="94"/>
    </row>
    <row r="994" spans="3:11" x14ac:dyDescent="0.25">
      <c r="C994" s="123"/>
      <c r="D994" s="100"/>
      <c r="E994" s="98"/>
      <c r="F994" s="94"/>
      <c r="G994" s="94"/>
      <c r="H994" s="124"/>
      <c r="I994" s="94"/>
      <c r="J994" s="94"/>
      <c r="K994" s="94"/>
    </row>
    <row r="995" spans="3:11" x14ac:dyDescent="0.25">
      <c r="C995" s="123"/>
      <c r="D995" s="100"/>
      <c r="E995" s="98"/>
      <c r="F995" s="94"/>
      <c r="G995" s="94"/>
      <c r="H995" s="124"/>
      <c r="I995" s="94"/>
      <c r="J995" s="94"/>
      <c r="K995" s="94"/>
    </row>
    <row r="996" spans="3:11" x14ac:dyDescent="0.25">
      <c r="C996" s="121"/>
      <c r="D996" s="100"/>
      <c r="E996" s="98"/>
      <c r="F996" s="94"/>
      <c r="G996" s="94"/>
      <c r="H996" s="122"/>
      <c r="I996" s="94"/>
      <c r="J996" s="94"/>
      <c r="K996" s="94"/>
    </row>
    <row r="997" spans="3:11" x14ac:dyDescent="0.25">
      <c r="C997" s="121"/>
      <c r="D997" s="100"/>
      <c r="E997" s="98"/>
      <c r="F997" s="94"/>
      <c r="G997" s="94"/>
      <c r="H997" s="122"/>
      <c r="I997" s="94"/>
      <c r="J997" s="94"/>
      <c r="K997" s="94"/>
    </row>
    <row r="998" spans="3:11" x14ac:dyDescent="0.25">
      <c r="C998" s="121"/>
      <c r="D998" s="100"/>
      <c r="E998" s="98"/>
      <c r="F998" s="94"/>
      <c r="G998" s="94"/>
      <c r="H998" s="122"/>
      <c r="I998" s="94"/>
      <c r="J998" s="94"/>
      <c r="K998" s="94"/>
    </row>
    <row r="999" spans="3:11" x14ac:dyDescent="0.25">
      <c r="C999" s="121"/>
      <c r="D999" s="100"/>
      <c r="E999" s="98"/>
      <c r="F999" s="94"/>
      <c r="G999" s="94"/>
      <c r="H999" s="122"/>
      <c r="I999" s="94"/>
      <c r="J999" s="94"/>
      <c r="K999" s="94"/>
    </row>
    <row r="1000" spans="3:11" x14ac:dyDescent="0.25">
      <c r="C1000" s="121"/>
      <c r="D1000" s="100"/>
      <c r="E1000" s="98"/>
      <c r="F1000" s="94"/>
      <c r="G1000" s="94"/>
      <c r="H1000" s="122"/>
      <c r="I1000" s="94"/>
      <c r="J1000" s="94"/>
      <c r="K1000" s="94"/>
    </row>
    <row r="1001" spans="3:11" x14ac:dyDescent="0.25">
      <c r="C1001" s="130"/>
      <c r="D1001" s="100"/>
      <c r="E1001" s="98"/>
      <c r="F1001" s="94"/>
      <c r="G1001" s="94"/>
      <c r="H1001" s="94"/>
      <c r="I1001" s="94"/>
      <c r="J1001" s="94"/>
      <c r="K1001" s="94"/>
    </row>
    <row r="1002" spans="3:11" x14ac:dyDescent="0.25">
      <c r="C1002" s="130"/>
      <c r="D1002" s="100"/>
      <c r="E1002" s="98"/>
      <c r="F1002" s="94"/>
      <c r="G1002" s="94"/>
      <c r="H1002" s="94"/>
      <c r="I1002" s="94"/>
      <c r="J1002" s="94"/>
      <c r="K1002" s="94"/>
    </row>
    <row r="1003" spans="3:11" x14ac:dyDescent="0.25">
      <c r="C1003" s="121"/>
      <c r="D1003" s="100"/>
      <c r="E1003" s="98"/>
      <c r="F1003" s="94"/>
      <c r="G1003" s="94"/>
      <c r="H1003" s="122"/>
      <c r="I1003" s="94"/>
      <c r="J1003" s="94"/>
      <c r="K1003" s="94"/>
    </row>
    <row r="1004" spans="3:11" x14ac:dyDescent="0.25">
      <c r="C1004" s="121"/>
      <c r="D1004" s="100"/>
      <c r="E1004" s="98"/>
      <c r="F1004" s="94"/>
      <c r="G1004" s="94"/>
      <c r="H1004" s="122"/>
      <c r="I1004" s="94"/>
      <c r="J1004" s="94"/>
      <c r="K1004" s="94"/>
    </row>
    <row r="1005" spans="3:11" x14ac:dyDescent="0.25">
      <c r="C1005" s="123"/>
      <c r="D1005" s="100"/>
      <c r="E1005" s="98"/>
      <c r="F1005" s="94"/>
      <c r="G1005" s="94"/>
      <c r="H1005" s="124"/>
      <c r="I1005" s="94"/>
      <c r="J1005" s="94"/>
      <c r="K1005" s="94"/>
    </row>
    <row r="1006" spans="3:11" x14ac:dyDescent="0.25">
      <c r="C1006" s="131"/>
      <c r="D1006" s="100"/>
      <c r="E1006" s="98"/>
      <c r="F1006" s="94"/>
      <c r="G1006" s="94"/>
      <c r="H1006" s="132"/>
      <c r="I1006" s="94"/>
      <c r="J1006" s="94"/>
      <c r="K1006" s="94"/>
    </row>
    <row r="1007" spans="3:11" x14ac:dyDescent="0.25">
      <c r="C1007" s="131"/>
      <c r="D1007" s="100"/>
      <c r="E1007" s="98"/>
      <c r="F1007" s="94"/>
      <c r="G1007" s="94"/>
      <c r="H1007" s="132"/>
      <c r="I1007" s="94"/>
      <c r="J1007" s="94"/>
      <c r="K1007" s="94"/>
    </row>
    <row r="1008" spans="3:11" x14ac:dyDescent="0.25">
      <c r="C1008" s="131"/>
      <c r="D1008" s="100"/>
      <c r="E1008" s="98"/>
      <c r="F1008" s="94"/>
      <c r="G1008" s="94"/>
      <c r="H1008" s="132"/>
      <c r="I1008" s="94"/>
      <c r="J1008" s="94"/>
      <c r="K1008" s="94"/>
    </row>
    <row r="1009" spans="3:11" x14ac:dyDescent="0.25">
      <c r="C1009" s="130"/>
      <c r="D1009" s="100"/>
      <c r="E1009" s="98"/>
      <c r="F1009" s="94"/>
      <c r="G1009" s="94"/>
      <c r="H1009" s="94"/>
      <c r="I1009" s="94"/>
      <c r="J1009" s="94"/>
      <c r="K1009" s="94"/>
    </row>
    <row r="1010" spans="3:11" x14ac:dyDescent="0.25">
      <c r="C1010" s="121"/>
      <c r="D1010" s="100"/>
      <c r="E1010" s="98"/>
      <c r="F1010" s="94"/>
      <c r="G1010" s="94"/>
      <c r="H1010" s="122"/>
      <c r="I1010" s="94"/>
      <c r="J1010" s="94"/>
      <c r="K1010" s="94"/>
    </row>
    <row r="1011" spans="3:11" x14ac:dyDescent="0.25">
      <c r="C1011" s="133"/>
      <c r="D1011" s="100"/>
      <c r="E1011" s="98"/>
      <c r="F1011" s="94"/>
      <c r="G1011" s="94"/>
      <c r="H1011" s="94"/>
      <c r="I1011" s="94"/>
      <c r="J1011" s="94"/>
      <c r="K1011" s="94"/>
    </row>
    <row r="1012" spans="3:11" x14ac:dyDescent="0.25">
      <c r="C1012" s="131"/>
      <c r="D1012" s="100"/>
      <c r="E1012" s="98"/>
      <c r="F1012" s="94"/>
      <c r="G1012" s="94"/>
      <c r="H1012" s="132"/>
      <c r="I1012" s="94"/>
      <c r="J1012" s="94"/>
      <c r="K1012" s="94"/>
    </row>
    <row r="1013" spans="3:11" x14ac:dyDescent="0.25">
      <c r="C1013" s="123"/>
      <c r="D1013" s="100"/>
      <c r="E1013" s="98"/>
      <c r="F1013" s="94"/>
      <c r="G1013" s="94"/>
      <c r="H1013" s="124"/>
      <c r="I1013" s="94"/>
      <c r="J1013" s="94"/>
      <c r="K1013" s="94"/>
    </row>
    <row r="1014" spans="3:11" x14ac:dyDescent="0.25">
      <c r="C1014" s="121"/>
      <c r="D1014" s="100"/>
      <c r="E1014" s="98"/>
      <c r="F1014" s="94"/>
      <c r="G1014" s="94"/>
      <c r="H1014" s="122"/>
      <c r="I1014" s="94"/>
      <c r="J1014" s="94"/>
      <c r="K1014" s="94"/>
    </row>
    <row r="1015" spans="3:11" x14ac:dyDescent="0.25">
      <c r="C1015" s="121"/>
      <c r="D1015" s="100"/>
      <c r="E1015" s="98"/>
      <c r="F1015" s="94"/>
      <c r="G1015" s="94"/>
      <c r="H1015" s="122"/>
      <c r="I1015" s="94"/>
      <c r="J1015" s="94"/>
      <c r="K1015" s="94"/>
    </row>
    <row r="1016" spans="3:11" x14ac:dyDescent="0.25">
      <c r="C1016" s="121"/>
      <c r="D1016" s="100"/>
      <c r="E1016" s="98"/>
      <c r="F1016" s="94"/>
      <c r="G1016" s="94"/>
      <c r="H1016" s="122"/>
      <c r="I1016" s="94"/>
      <c r="J1016" s="94"/>
      <c r="K1016" s="94"/>
    </row>
    <row r="1017" spans="3:11" x14ac:dyDescent="0.25">
      <c r="C1017" s="121"/>
      <c r="D1017" s="100"/>
      <c r="E1017" s="98"/>
      <c r="F1017" s="94"/>
      <c r="G1017" s="94"/>
      <c r="H1017" s="122"/>
      <c r="I1017" s="94"/>
      <c r="J1017" s="94"/>
      <c r="K1017" s="94"/>
    </row>
    <row r="1018" spans="3:11" x14ac:dyDescent="0.25">
      <c r="C1018" s="121"/>
      <c r="D1018" s="100"/>
      <c r="E1018" s="98"/>
      <c r="F1018" s="94"/>
      <c r="G1018" s="94"/>
      <c r="H1018" s="122"/>
      <c r="I1018" s="94"/>
      <c r="J1018" s="94"/>
      <c r="K1018" s="94"/>
    </row>
    <row r="1019" spans="3:11" x14ac:dyDescent="0.25">
      <c r="C1019" s="121"/>
      <c r="D1019" s="100"/>
      <c r="E1019" s="98"/>
      <c r="F1019" s="94"/>
      <c r="G1019" s="94"/>
      <c r="H1019" s="122"/>
      <c r="I1019" s="94"/>
      <c r="J1019" s="94"/>
      <c r="K1019" s="94"/>
    </row>
    <row r="1020" spans="3:11" x14ac:dyDescent="0.25">
      <c r="C1020" s="121"/>
      <c r="D1020" s="100"/>
      <c r="E1020" s="98"/>
      <c r="F1020" s="94"/>
      <c r="G1020" s="94"/>
      <c r="H1020" s="122"/>
      <c r="I1020" s="94"/>
      <c r="J1020" s="94"/>
      <c r="K1020" s="94"/>
    </row>
    <row r="1021" spans="3:11" x14ac:dyDescent="0.25">
      <c r="C1021" s="121"/>
      <c r="D1021" s="100"/>
      <c r="E1021" s="98"/>
      <c r="F1021" s="94"/>
      <c r="G1021" s="94"/>
      <c r="H1021" s="122"/>
      <c r="I1021" s="94"/>
      <c r="J1021" s="94"/>
      <c r="K1021" s="94"/>
    </row>
    <row r="1022" spans="3:11" x14ac:dyDescent="0.25">
      <c r="C1022" s="121"/>
      <c r="D1022" s="100"/>
      <c r="E1022" s="98"/>
      <c r="F1022" s="94"/>
      <c r="G1022" s="94"/>
      <c r="H1022" s="122"/>
      <c r="I1022" s="94"/>
      <c r="J1022" s="94"/>
      <c r="K1022" s="94"/>
    </row>
    <row r="1023" spans="3:11" x14ac:dyDescent="0.25">
      <c r="C1023" s="130"/>
      <c r="D1023" s="100"/>
      <c r="E1023" s="98"/>
      <c r="F1023" s="94"/>
      <c r="G1023" s="94"/>
      <c r="H1023" s="94"/>
      <c r="I1023" s="94"/>
      <c r="J1023" s="94"/>
      <c r="K1023" s="94"/>
    </row>
    <row r="1024" spans="3:11" x14ac:dyDescent="0.25">
      <c r="C1024" s="121"/>
      <c r="D1024" s="100"/>
      <c r="E1024" s="98"/>
      <c r="F1024" s="94"/>
      <c r="G1024" s="94"/>
      <c r="H1024" s="122"/>
      <c r="I1024" s="94"/>
      <c r="J1024" s="94"/>
      <c r="K1024" s="94"/>
    </row>
    <row r="1025" spans="4:4" x14ac:dyDescent="0.25">
      <c r="D1025" s="134"/>
    </row>
    <row r="1026" spans="4:4" x14ac:dyDescent="0.25">
      <c r="D1026" s="134"/>
    </row>
    <row r="1027" spans="4:4" x14ac:dyDescent="0.25">
      <c r="D1027" s="134"/>
    </row>
    <row r="1028" spans="4:4" x14ac:dyDescent="0.25">
      <c r="D1028" s="134"/>
    </row>
    <row r="1029" spans="4:4" x14ac:dyDescent="0.25">
      <c r="D1029" s="134"/>
    </row>
    <row r="1030" spans="4:4" x14ac:dyDescent="0.25">
      <c r="D1030" s="134"/>
    </row>
    <row r="1031" spans="4:4" x14ac:dyDescent="0.25">
      <c r="D1031" s="134"/>
    </row>
    <row r="1032" spans="4:4" x14ac:dyDescent="0.25">
      <c r="D1032" s="134"/>
    </row>
    <row r="1033" spans="4:4" x14ac:dyDescent="0.25">
      <c r="D1033" s="134"/>
    </row>
    <row r="1034" spans="4:4" x14ac:dyDescent="0.25">
      <c r="D1034" s="134"/>
    </row>
    <row r="1035" spans="4:4" x14ac:dyDescent="0.25">
      <c r="D1035" s="134"/>
    </row>
    <row r="1036" spans="4:4" x14ac:dyDescent="0.25">
      <c r="D1036" s="134"/>
    </row>
    <row r="1037" spans="4:4" x14ac:dyDescent="0.25">
      <c r="D1037" s="134"/>
    </row>
    <row r="1038" spans="4:4" x14ac:dyDescent="0.25">
      <c r="D1038" s="134"/>
    </row>
    <row r="1039" spans="4:4" x14ac:dyDescent="0.25">
      <c r="D1039" s="134"/>
    </row>
    <row r="1040" spans="4:4" x14ac:dyDescent="0.25">
      <c r="D1040" s="134"/>
    </row>
    <row r="1041" spans="4:4" x14ac:dyDescent="0.25">
      <c r="D1041" s="134"/>
    </row>
    <row r="1042" spans="4:4" x14ac:dyDescent="0.25">
      <c r="D1042" s="134"/>
    </row>
    <row r="1043" spans="4:4" x14ac:dyDescent="0.25">
      <c r="D1043" s="134"/>
    </row>
    <row r="1044" spans="4:4" x14ac:dyDescent="0.25">
      <c r="D1044" s="134"/>
    </row>
    <row r="1045" spans="4:4" x14ac:dyDescent="0.25">
      <c r="D1045" s="134"/>
    </row>
    <row r="1046" spans="4:4" x14ac:dyDescent="0.25">
      <c r="D1046" s="134"/>
    </row>
    <row r="1047" spans="4:4" x14ac:dyDescent="0.25">
      <c r="D1047" s="134"/>
    </row>
    <row r="1048" spans="4:4" x14ac:dyDescent="0.25">
      <c r="D1048" s="134"/>
    </row>
    <row r="1049" spans="4:4" x14ac:dyDescent="0.25">
      <c r="D1049" s="134"/>
    </row>
    <row r="1050" spans="4:4" x14ac:dyDescent="0.25">
      <c r="D1050" s="134"/>
    </row>
    <row r="1051" spans="4:4" x14ac:dyDescent="0.25">
      <c r="D1051" s="134"/>
    </row>
    <row r="1052" spans="4:4" x14ac:dyDescent="0.25">
      <c r="D1052" s="134"/>
    </row>
    <row r="1053" spans="4:4" x14ac:dyDescent="0.25">
      <c r="D1053" s="134"/>
    </row>
    <row r="1054" spans="4:4" x14ac:dyDescent="0.25">
      <c r="D1054" s="134"/>
    </row>
    <row r="1055" spans="4:4" x14ac:dyDescent="0.25">
      <c r="D1055" s="134"/>
    </row>
    <row r="1056" spans="4:4" x14ac:dyDescent="0.25">
      <c r="D1056" s="134"/>
    </row>
    <row r="1057" spans="4:4" x14ac:dyDescent="0.25">
      <c r="D1057" s="134"/>
    </row>
    <row r="1058" spans="4:4" x14ac:dyDescent="0.25">
      <c r="D1058" s="134"/>
    </row>
    <row r="1059" spans="4:4" x14ac:dyDescent="0.25">
      <c r="D1059" s="134"/>
    </row>
    <row r="1060" spans="4:4" x14ac:dyDescent="0.25">
      <c r="D1060" s="134"/>
    </row>
    <row r="1061" spans="4:4" x14ac:dyDescent="0.25">
      <c r="D1061" s="134"/>
    </row>
    <row r="1062" spans="4:4" x14ac:dyDescent="0.25">
      <c r="D1062" s="134"/>
    </row>
    <row r="1063" spans="4:4" x14ac:dyDescent="0.25">
      <c r="D1063" s="134"/>
    </row>
    <row r="1064" spans="4:4" x14ac:dyDescent="0.25">
      <c r="D1064" s="134"/>
    </row>
    <row r="1065" spans="4:4" x14ac:dyDescent="0.25">
      <c r="D1065" s="134"/>
    </row>
    <row r="1066" spans="4:4" x14ac:dyDescent="0.25">
      <c r="D1066" s="134"/>
    </row>
    <row r="1067" spans="4:4" x14ac:dyDescent="0.25">
      <c r="D1067" s="134"/>
    </row>
    <row r="1068" spans="4:4" x14ac:dyDescent="0.25">
      <c r="D1068" s="134"/>
    </row>
    <row r="1069" spans="4:4" x14ac:dyDescent="0.25">
      <c r="D1069" s="134"/>
    </row>
    <row r="1070" spans="4:4" x14ac:dyDescent="0.25">
      <c r="D1070" s="134"/>
    </row>
    <row r="1071" spans="4:4" x14ac:dyDescent="0.25">
      <c r="D1071" s="134"/>
    </row>
    <row r="1072" spans="4:4" x14ac:dyDescent="0.25">
      <c r="D1072" s="134"/>
    </row>
    <row r="1073" spans="3:8" x14ac:dyDescent="0.25">
      <c r="D1073" s="134"/>
    </row>
    <row r="1074" spans="3:8" x14ac:dyDescent="0.25">
      <c r="D1074" s="134"/>
    </row>
    <row r="1075" spans="3:8" x14ac:dyDescent="0.25">
      <c r="D1075" s="134"/>
    </row>
    <row r="1076" spans="3:8" x14ac:dyDescent="0.25">
      <c r="D1076" s="134"/>
    </row>
    <row r="1077" spans="3:8" x14ac:dyDescent="0.25">
      <c r="D1077" s="134"/>
    </row>
    <row r="1078" spans="3:8" x14ac:dyDescent="0.25">
      <c r="D1078" s="134"/>
    </row>
    <row r="1079" spans="3:8" x14ac:dyDescent="0.25">
      <c r="D1079" s="134"/>
    </row>
    <row r="1080" spans="3:8" x14ac:dyDescent="0.25">
      <c r="D1080" s="134"/>
    </row>
    <row r="1081" spans="3:8" x14ac:dyDescent="0.25">
      <c r="D1081" s="134"/>
    </row>
    <row r="1082" spans="3:8" x14ac:dyDescent="0.25">
      <c r="D1082" s="22"/>
    </row>
    <row r="1083" spans="3:8" x14ac:dyDescent="0.25">
      <c r="C1083" s="103"/>
      <c r="D1083" s="103"/>
      <c r="E1083" s="103"/>
      <c r="F1083" s="102"/>
      <c r="G1083" s="102"/>
      <c r="H1083" s="102"/>
    </row>
    <row r="1084" spans="3:8" x14ac:dyDescent="0.25">
      <c r="C1084" s="103"/>
      <c r="D1084" s="103"/>
      <c r="E1084" s="103"/>
      <c r="F1084" s="102"/>
      <c r="G1084" s="102"/>
      <c r="H1084" s="102"/>
    </row>
    <row r="1085" spans="3:8" x14ac:dyDescent="0.25">
      <c r="C1085" s="103"/>
      <c r="D1085" s="103"/>
      <c r="E1085" s="103"/>
      <c r="F1085" s="102"/>
      <c r="G1085" s="102"/>
      <c r="H1085" s="102"/>
    </row>
    <row r="1086" spans="3:8" x14ac:dyDescent="0.25">
      <c r="C1086" s="103"/>
      <c r="D1086" s="103"/>
      <c r="E1086" s="103"/>
      <c r="F1086" s="102"/>
      <c r="G1086" s="102"/>
      <c r="H1086" s="102"/>
    </row>
    <row r="1087" spans="3:8" x14ac:dyDescent="0.25">
      <c r="C1087" s="103"/>
      <c r="D1087" s="103"/>
      <c r="E1087" s="103"/>
      <c r="F1087" s="102"/>
      <c r="G1087" s="102"/>
      <c r="H1087" s="102"/>
    </row>
    <row r="1088" spans="3:8" x14ac:dyDescent="0.25">
      <c r="C1088" s="103"/>
      <c r="D1088" s="103"/>
      <c r="E1088" s="103"/>
      <c r="F1088" s="102"/>
      <c r="G1088" s="102"/>
      <c r="H1088" s="102"/>
    </row>
    <row r="1089" spans="3:8" x14ac:dyDescent="0.25">
      <c r="C1089" s="103"/>
      <c r="D1089" s="103"/>
      <c r="E1089" s="103"/>
      <c r="F1089" s="102"/>
      <c r="G1089" s="102"/>
      <c r="H1089" s="102"/>
    </row>
    <row r="1090" spans="3:8" x14ac:dyDescent="0.25">
      <c r="C1090" s="103"/>
      <c r="D1090" s="103"/>
      <c r="E1090" s="103"/>
      <c r="F1090" s="102"/>
      <c r="G1090" s="102"/>
      <c r="H1090" s="102"/>
    </row>
    <row r="1091" spans="3:8" x14ac:dyDescent="0.25">
      <c r="C1091" s="103"/>
      <c r="D1091" s="103"/>
      <c r="E1091" s="103"/>
      <c r="F1091" s="102"/>
      <c r="G1091" s="102"/>
      <c r="H1091" s="102"/>
    </row>
    <row r="1092" spans="3:8" x14ac:dyDescent="0.25">
      <c r="C1092" s="103"/>
      <c r="D1092" s="103"/>
      <c r="E1092" s="103"/>
      <c r="F1092" s="102"/>
      <c r="G1092" s="102"/>
      <c r="H1092" s="102"/>
    </row>
    <row r="1093" spans="3:8" x14ac:dyDescent="0.25">
      <c r="C1093" s="103"/>
      <c r="D1093" s="103"/>
      <c r="E1093" s="103"/>
      <c r="F1093" s="102"/>
      <c r="G1093" s="102"/>
      <c r="H1093" s="102"/>
    </row>
    <row r="1094" spans="3:8" x14ac:dyDescent="0.25">
      <c r="C1094" s="103"/>
      <c r="D1094" s="103"/>
      <c r="E1094" s="103"/>
      <c r="F1094" s="102"/>
      <c r="G1094" s="102"/>
      <c r="H1094" s="102"/>
    </row>
    <row r="1095" spans="3:8" x14ac:dyDescent="0.25">
      <c r="C1095" s="103"/>
      <c r="D1095" s="103"/>
      <c r="E1095" s="103"/>
      <c r="F1095" s="102"/>
      <c r="G1095" s="102"/>
      <c r="H1095" s="102"/>
    </row>
    <row r="1096" spans="3:8" x14ac:dyDescent="0.25">
      <c r="C1096" s="103"/>
      <c r="D1096" s="103"/>
      <c r="E1096" s="103"/>
      <c r="F1096" s="102"/>
      <c r="G1096" s="102"/>
      <c r="H1096" s="102"/>
    </row>
    <row r="1097" spans="3:8" x14ac:dyDescent="0.25">
      <c r="C1097" s="103"/>
      <c r="D1097" s="103"/>
      <c r="E1097" s="103"/>
      <c r="F1097" s="102"/>
      <c r="G1097" s="102"/>
      <c r="H1097" s="102"/>
    </row>
    <row r="1098" spans="3:8" x14ac:dyDescent="0.25">
      <c r="C1098" s="103"/>
      <c r="D1098" s="103"/>
      <c r="E1098" s="103"/>
      <c r="F1098" s="102"/>
      <c r="G1098" s="102"/>
      <c r="H1098" s="102"/>
    </row>
    <row r="1099" spans="3:8" x14ac:dyDescent="0.25">
      <c r="C1099" s="103"/>
      <c r="D1099" s="103"/>
      <c r="E1099" s="103"/>
      <c r="F1099" s="102"/>
      <c r="G1099" s="102"/>
      <c r="H1099" s="102"/>
    </row>
    <row r="1100" spans="3:8" x14ac:dyDescent="0.25">
      <c r="C1100" s="103"/>
      <c r="D1100" s="103"/>
      <c r="E1100" s="103"/>
      <c r="F1100" s="102"/>
      <c r="G1100" s="102"/>
      <c r="H1100" s="102"/>
    </row>
    <row r="1101" spans="3:8" x14ac:dyDescent="0.25">
      <c r="C1101" s="103"/>
      <c r="D1101" s="103"/>
      <c r="E1101" s="103"/>
      <c r="F1101" s="102"/>
      <c r="G1101" s="102"/>
      <c r="H1101" s="102"/>
    </row>
    <row r="1102" spans="3:8" x14ac:dyDescent="0.25">
      <c r="C1102" s="103"/>
      <c r="D1102" s="103"/>
      <c r="E1102" s="103"/>
      <c r="F1102" s="102"/>
      <c r="G1102" s="102"/>
      <c r="H1102" s="102"/>
    </row>
    <row r="1103" spans="3:8" x14ac:dyDescent="0.25">
      <c r="C1103" s="103"/>
      <c r="D1103" s="103"/>
      <c r="E1103" s="103"/>
      <c r="F1103" s="102"/>
      <c r="G1103" s="102"/>
      <c r="H1103" s="102"/>
    </row>
    <row r="1104" spans="3:8" x14ac:dyDescent="0.25">
      <c r="C1104" s="103"/>
      <c r="D1104" s="103"/>
      <c r="E1104" s="103"/>
      <c r="F1104" s="102"/>
      <c r="G1104" s="102"/>
      <c r="H1104" s="102"/>
    </row>
    <row r="1105" spans="3:8" x14ac:dyDescent="0.25">
      <c r="C1105" s="103"/>
      <c r="D1105" s="103"/>
      <c r="E1105" s="103"/>
      <c r="F1105" s="102"/>
      <c r="G1105" s="102"/>
    </row>
    <row r="1106" spans="3:8" x14ac:dyDescent="0.25">
      <c r="C1106" s="103"/>
      <c r="D1106" s="103"/>
      <c r="E1106" s="103"/>
      <c r="F1106" s="102"/>
      <c r="G1106" s="102"/>
      <c r="H1106" s="102"/>
    </row>
    <row r="1107" spans="3:8" x14ac:dyDescent="0.25">
      <c r="C1107" s="103"/>
      <c r="D1107" s="103"/>
      <c r="E1107" s="103"/>
      <c r="F1107" s="102"/>
      <c r="G1107" s="102"/>
    </row>
    <row r="1108" spans="3:8" x14ac:dyDescent="0.25">
      <c r="C1108" s="103"/>
      <c r="D1108" s="103"/>
      <c r="E1108" s="103"/>
      <c r="F1108" s="102"/>
      <c r="G1108" s="102"/>
    </row>
    <row r="1109" spans="3:8" x14ac:dyDescent="0.25">
      <c r="C1109" s="103"/>
      <c r="D1109" s="103"/>
      <c r="E1109" s="103"/>
      <c r="F1109" s="102"/>
      <c r="G1109" s="102"/>
    </row>
    <row r="1110" spans="3:8" x14ac:dyDescent="0.25">
      <c r="C1110" s="103"/>
      <c r="D1110" s="103"/>
      <c r="E1110" s="103"/>
      <c r="F1110" s="102"/>
      <c r="G1110" s="102"/>
    </row>
    <row r="1111" spans="3:8" x14ac:dyDescent="0.25">
      <c r="C1111" s="103"/>
      <c r="D1111" s="103"/>
      <c r="E1111" s="103"/>
      <c r="F1111" s="102"/>
      <c r="G1111" s="102"/>
    </row>
    <row r="1112" spans="3:8" x14ac:dyDescent="0.25">
      <c r="C1112" s="103"/>
      <c r="D1112" s="103"/>
      <c r="E1112" s="103"/>
      <c r="F1112" s="102"/>
      <c r="G1112" s="102"/>
    </row>
    <row r="1113" spans="3:8" x14ac:dyDescent="0.25">
      <c r="C1113" s="103"/>
      <c r="D1113" s="103"/>
      <c r="E1113" s="103"/>
      <c r="F1113" s="102"/>
      <c r="G1113" s="102"/>
    </row>
    <row r="1114" spans="3:8" x14ac:dyDescent="0.25">
      <c r="C1114" s="103"/>
      <c r="D1114" s="103"/>
      <c r="E1114" s="103"/>
      <c r="F1114" s="102"/>
      <c r="G1114" s="102"/>
    </row>
    <row r="1115" spans="3:8" x14ac:dyDescent="0.25">
      <c r="C1115" s="103"/>
      <c r="D1115" s="103"/>
      <c r="E1115" s="103"/>
      <c r="F1115" s="102"/>
      <c r="G1115" s="102"/>
    </row>
    <row r="1116" spans="3:8" x14ac:dyDescent="0.25">
      <c r="C1116" s="103"/>
      <c r="D1116" s="103"/>
      <c r="E1116" s="103"/>
      <c r="F1116" s="102"/>
      <c r="G1116" s="102"/>
    </row>
    <row r="1117" spans="3:8" x14ac:dyDescent="0.25">
      <c r="C1117" s="103"/>
      <c r="D1117" s="103"/>
      <c r="E1117" s="103"/>
      <c r="F1117" s="102"/>
      <c r="G1117" s="102"/>
    </row>
    <row r="1118" spans="3:8" x14ac:dyDescent="0.25">
      <c r="C1118" s="103"/>
      <c r="D1118" s="103"/>
      <c r="E1118" s="103"/>
      <c r="F1118" s="102"/>
      <c r="G1118" s="102"/>
    </row>
    <row r="1119" spans="3:8" x14ac:dyDescent="0.25">
      <c r="C1119" s="103"/>
      <c r="D1119" s="103"/>
      <c r="E1119" s="103"/>
      <c r="F1119" s="102"/>
      <c r="G1119" s="102"/>
    </row>
    <row r="1120" spans="3:8" x14ac:dyDescent="0.25">
      <c r="C1120" s="103"/>
      <c r="D1120" s="103"/>
      <c r="E1120" s="103"/>
      <c r="F1120" s="102"/>
      <c r="G1120" s="102"/>
    </row>
    <row r="1121" spans="3:8" x14ac:dyDescent="0.25">
      <c r="C1121" s="103"/>
      <c r="D1121" s="103"/>
      <c r="E1121" s="103"/>
      <c r="F1121" s="102"/>
      <c r="G1121" s="102"/>
    </row>
    <row r="1122" spans="3:8" x14ac:dyDescent="0.25">
      <c r="C1122" s="103"/>
      <c r="D1122" s="103"/>
      <c r="E1122" s="103"/>
      <c r="F1122" s="102"/>
      <c r="G1122" s="102"/>
    </row>
    <row r="1123" spans="3:8" x14ac:dyDescent="0.25">
      <c r="C1123" s="103"/>
      <c r="D1123" s="103"/>
      <c r="E1123" s="103"/>
      <c r="F1123" s="102"/>
      <c r="G1123" s="102"/>
    </row>
    <row r="1124" spans="3:8" x14ac:dyDescent="0.25">
      <c r="C1124" s="103"/>
      <c r="D1124" s="103"/>
      <c r="E1124" s="103"/>
      <c r="F1124" s="102"/>
      <c r="G1124" s="102"/>
    </row>
    <row r="1125" spans="3:8" x14ac:dyDescent="0.25">
      <c r="C1125" s="103"/>
      <c r="D1125" s="103"/>
      <c r="E1125" s="103"/>
      <c r="F1125" s="102"/>
      <c r="G1125" s="102"/>
      <c r="H1125" s="102"/>
    </row>
    <row r="1126" spans="3:8" x14ac:dyDescent="0.25">
      <c r="C1126" s="103"/>
      <c r="D1126" s="103"/>
      <c r="E1126" s="103"/>
      <c r="F1126" s="102"/>
      <c r="G1126" s="102"/>
    </row>
    <row r="1127" spans="3:8" x14ac:dyDescent="0.25">
      <c r="C1127" s="103"/>
      <c r="D1127" s="103"/>
      <c r="E1127" s="103"/>
      <c r="F1127" s="102"/>
      <c r="G1127" s="102"/>
    </row>
    <row r="1128" spans="3:8" x14ac:dyDescent="0.25">
      <c r="C1128" s="103"/>
      <c r="D1128" s="103"/>
      <c r="E1128" s="103"/>
      <c r="F1128" s="102"/>
      <c r="G1128" s="102"/>
    </row>
    <row r="1129" spans="3:8" x14ac:dyDescent="0.25">
      <c r="C1129" s="103"/>
      <c r="D1129" s="103"/>
      <c r="E1129" s="103"/>
      <c r="F1129" s="102"/>
      <c r="G1129" s="102"/>
    </row>
    <row r="1130" spans="3:8" x14ac:dyDescent="0.25">
      <c r="C1130" s="103"/>
      <c r="D1130" s="103"/>
      <c r="E1130" s="103"/>
      <c r="F1130" s="102"/>
      <c r="G1130" s="102"/>
    </row>
    <row r="1131" spans="3:8" x14ac:dyDescent="0.25">
      <c r="C1131" s="103"/>
      <c r="D1131" s="103"/>
      <c r="E1131" s="103"/>
      <c r="F1131" s="102"/>
      <c r="G1131" s="102"/>
    </row>
    <row r="1132" spans="3:8" x14ac:dyDescent="0.25">
      <c r="C1132" s="103"/>
      <c r="D1132" s="103"/>
      <c r="E1132" s="103"/>
      <c r="F1132" s="102"/>
      <c r="G1132" s="102"/>
    </row>
    <row r="1133" spans="3:8" x14ac:dyDescent="0.25">
      <c r="C1133" s="103"/>
      <c r="D1133" s="103"/>
      <c r="E1133" s="103"/>
      <c r="F1133" s="102"/>
      <c r="G1133" s="102"/>
    </row>
    <row r="1134" spans="3:8" x14ac:dyDescent="0.25">
      <c r="C1134" s="103"/>
      <c r="D1134" s="103"/>
      <c r="E1134" s="103"/>
      <c r="F1134" s="102"/>
      <c r="G1134" s="102"/>
    </row>
    <row r="1135" spans="3:8" x14ac:dyDescent="0.25">
      <c r="C1135" s="103"/>
      <c r="D1135" s="103"/>
      <c r="E1135" s="103"/>
      <c r="F1135" s="102"/>
      <c r="G1135" s="102"/>
    </row>
    <row r="1136" spans="3:8" x14ac:dyDescent="0.25">
      <c r="C1136" s="103"/>
      <c r="D1136" s="103"/>
      <c r="E1136" s="103"/>
      <c r="F1136" s="102"/>
      <c r="G1136" s="102"/>
    </row>
    <row r="1137" spans="3:7" x14ac:dyDescent="0.25">
      <c r="C1137" s="103"/>
      <c r="D1137" s="103"/>
      <c r="E1137" s="103"/>
      <c r="F1137" s="102"/>
      <c r="G1137" s="102"/>
    </row>
    <row r="1138" spans="3:7" x14ac:dyDescent="0.25">
      <c r="C1138" s="103"/>
      <c r="D1138" s="103"/>
      <c r="E1138" s="103"/>
      <c r="F1138" s="102"/>
      <c r="G1138" s="102"/>
    </row>
    <row r="1139" spans="3:7" x14ac:dyDescent="0.25">
      <c r="C1139" s="103"/>
      <c r="D1139" s="103"/>
      <c r="E1139" s="103"/>
      <c r="F1139" s="102"/>
      <c r="G1139" s="102"/>
    </row>
    <row r="1140" spans="3:7" x14ac:dyDescent="0.25">
      <c r="C1140" s="103"/>
      <c r="D1140" s="103"/>
      <c r="E1140" s="103"/>
      <c r="F1140" s="102"/>
      <c r="G1140" s="102"/>
    </row>
    <row r="1141" spans="3:7" x14ac:dyDescent="0.25">
      <c r="C1141" s="103"/>
      <c r="D1141" s="103"/>
      <c r="E1141" s="103"/>
      <c r="F1141" s="102"/>
      <c r="G1141" s="102"/>
    </row>
    <row r="1142" spans="3:7" x14ac:dyDescent="0.25">
      <c r="C1142" s="103"/>
      <c r="D1142" s="103"/>
      <c r="E1142" s="103"/>
      <c r="F1142" s="102"/>
      <c r="G1142" s="102"/>
    </row>
    <row r="1143" spans="3:7" x14ac:dyDescent="0.25">
      <c r="C1143" s="103"/>
      <c r="D1143" s="103"/>
      <c r="E1143" s="103"/>
      <c r="F1143" s="102"/>
      <c r="G1143" s="102"/>
    </row>
    <row r="1144" spans="3:7" x14ac:dyDescent="0.25">
      <c r="C1144" s="103"/>
      <c r="D1144" s="103"/>
      <c r="E1144" s="103"/>
      <c r="F1144" s="102"/>
      <c r="G1144" s="102"/>
    </row>
    <row r="1145" spans="3:7" x14ac:dyDescent="0.25">
      <c r="C1145" s="103"/>
      <c r="D1145" s="103"/>
      <c r="E1145" s="103"/>
      <c r="F1145" s="102"/>
      <c r="G1145" s="102"/>
    </row>
    <row r="1146" spans="3:7" x14ac:dyDescent="0.25">
      <c r="C1146" s="103"/>
      <c r="D1146" s="103"/>
      <c r="E1146" s="103"/>
      <c r="F1146" s="102"/>
      <c r="G1146" s="102"/>
    </row>
    <row r="1147" spans="3:7" x14ac:dyDescent="0.25">
      <c r="C1147" s="103"/>
      <c r="D1147" s="103"/>
      <c r="E1147" s="103"/>
      <c r="F1147" s="102"/>
      <c r="G1147" s="102"/>
    </row>
    <row r="1148" spans="3:7" x14ac:dyDescent="0.25">
      <c r="C1148" s="103"/>
      <c r="D1148" s="103"/>
      <c r="E1148" s="103"/>
      <c r="F1148" s="102"/>
      <c r="G1148" s="102"/>
    </row>
    <row r="1149" spans="3:7" x14ac:dyDescent="0.25">
      <c r="C1149" s="103"/>
      <c r="D1149" s="103"/>
      <c r="E1149" s="103"/>
      <c r="F1149" s="102"/>
      <c r="G1149" s="102"/>
    </row>
    <row r="1150" spans="3:7" x14ac:dyDescent="0.25">
      <c r="C1150" s="103"/>
      <c r="D1150" s="103"/>
      <c r="E1150" s="103"/>
      <c r="F1150" s="102"/>
      <c r="G1150" s="102"/>
    </row>
    <row r="1151" spans="3:7" x14ac:dyDescent="0.25">
      <c r="C1151" s="103"/>
      <c r="D1151" s="103"/>
      <c r="E1151" s="103"/>
      <c r="F1151" s="102"/>
      <c r="G1151" s="102"/>
    </row>
    <row r="1152" spans="3:7" x14ac:dyDescent="0.25">
      <c r="C1152" s="103"/>
      <c r="D1152" s="103"/>
      <c r="E1152" s="103"/>
      <c r="F1152" s="102"/>
      <c r="G1152" s="102"/>
    </row>
    <row r="1153" spans="3:7" x14ac:dyDescent="0.25">
      <c r="C1153" s="103"/>
      <c r="D1153" s="103"/>
      <c r="E1153" s="103"/>
      <c r="F1153" s="102"/>
      <c r="G1153" s="102"/>
    </row>
    <row r="1154" spans="3:7" x14ac:dyDescent="0.25">
      <c r="C1154" s="103"/>
      <c r="D1154" s="103"/>
      <c r="E1154" s="103"/>
      <c r="F1154" s="102"/>
      <c r="G1154" s="102"/>
    </row>
    <row r="1155" spans="3:7" x14ac:dyDescent="0.25">
      <c r="C1155" s="103"/>
      <c r="D1155" s="103"/>
      <c r="E1155" s="103"/>
      <c r="F1155" s="102"/>
      <c r="G1155" s="102"/>
    </row>
    <row r="1156" spans="3:7" x14ac:dyDescent="0.25">
      <c r="C1156" s="103"/>
      <c r="D1156" s="103"/>
      <c r="E1156" s="103"/>
      <c r="F1156" s="102"/>
      <c r="G1156" s="102"/>
    </row>
    <row r="1157" spans="3:7" x14ac:dyDescent="0.25">
      <c r="C1157" s="103"/>
      <c r="D1157" s="103"/>
      <c r="E1157" s="103"/>
      <c r="F1157" s="102"/>
      <c r="G1157" s="102"/>
    </row>
    <row r="1158" spans="3:7" x14ac:dyDescent="0.25">
      <c r="C1158" s="103"/>
      <c r="D1158" s="103"/>
      <c r="E1158" s="103"/>
      <c r="F1158" s="102"/>
      <c r="G1158" s="102"/>
    </row>
    <row r="1159" spans="3:7" x14ac:dyDescent="0.25">
      <c r="C1159" s="103"/>
      <c r="D1159" s="103"/>
      <c r="E1159" s="103"/>
      <c r="F1159" s="102"/>
      <c r="G1159" s="102"/>
    </row>
    <row r="1160" spans="3:7" x14ac:dyDescent="0.25">
      <c r="C1160" s="103"/>
      <c r="D1160" s="103"/>
      <c r="E1160" s="103"/>
      <c r="F1160" s="102"/>
      <c r="G1160" s="102"/>
    </row>
    <row r="1161" spans="3:7" x14ac:dyDescent="0.25">
      <c r="C1161" s="103"/>
      <c r="D1161" s="103"/>
      <c r="E1161" s="103"/>
      <c r="F1161" s="102"/>
      <c r="G1161" s="102"/>
    </row>
    <row r="1162" spans="3:7" x14ac:dyDescent="0.25">
      <c r="C1162" s="103"/>
      <c r="D1162" s="103"/>
      <c r="E1162" s="103"/>
      <c r="F1162" s="102"/>
      <c r="G1162" s="102"/>
    </row>
    <row r="1163" spans="3:7" x14ac:dyDescent="0.25">
      <c r="C1163" s="103"/>
      <c r="D1163" s="103"/>
      <c r="E1163" s="103"/>
      <c r="F1163" s="102"/>
      <c r="G1163" s="102"/>
    </row>
    <row r="1164" spans="3:7" x14ac:dyDescent="0.25">
      <c r="C1164" s="103"/>
      <c r="D1164" s="103"/>
      <c r="E1164" s="103"/>
      <c r="F1164" s="102"/>
      <c r="G1164" s="102"/>
    </row>
    <row r="1165" spans="3:7" x14ac:dyDescent="0.25">
      <c r="C1165" s="103"/>
      <c r="D1165" s="103"/>
      <c r="E1165" s="103"/>
      <c r="F1165" s="102"/>
      <c r="G1165" s="102"/>
    </row>
    <row r="1166" spans="3:7" x14ac:dyDescent="0.25">
      <c r="C1166" s="103"/>
      <c r="D1166" s="103"/>
      <c r="E1166" s="103"/>
      <c r="F1166" s="102"/>
      <c r="G1166" s="102"/>
    </row>
    <row r="1167" spans="3:7" x14ac:dyDescent="0.25">
      <c r="C1167" s="103"/>
      <c r="D1167" s="103"/>
      <c r="E1167" s="103"/>
      <c r="F1167" s="102"/>
      <c r="G1167" s="102"/>
    </row>
    <row r="1168" spans="3:7" x14ac:dyDescent="0.25">
      <c r="C1168" s="103"/>
      <c r="D1168" s="103"/>
      <c r="E1168" s="103"/>
      <c r="F1168" s="102"/>
      <c r="G1168" s="102"/>
    </row>
    <row r="1169" spans="3:8" x14ac:dyDescent="0.25">
      <c r="C1169" s="103"/>
      <c r="D1169" s="103"/>
      <c r="E1169" s="103"/>
      <c r="F1169" s="102"/>
      <c r="G1169" s="102"/>
    </row>
    <row r="1170" spans="3:8" x14ac:dyDescent="0.25">
      <c r="C1170" s="103"/>
      <c r="D1170" s="103"/>
      <c r="E1170" s="103"/>
      <c r="F1170" s="102"/>
      <c r="G1170" s="102"/>
    </row>
    <row r="1171" spans="3:8" x14ac:dyDescent="0.25">
      <c r="C1171" s="103"/>
      <c r="D1171" s="103"/>
      <c r="E1171" s="103"/>
      <c r="F1171" s="102"/>
      <c r="G1171" s="102"/>
    </row>
    <row r="1172" spans="3:8" x14ac:dyDescent="0.25">
      <c r="C1172" s="103"/>
      <c r="D1172" s="103"/>
      <c r="E1172" s="103"/>
      <c r="F1172" s="102"/>
      <c r="G1172" s="102"/>
      <c r="H1172" s="102"/>
    </row>
    <row r="1173" spans="3:8" x14ac:dyDescent="0.25">
      <c r="C1173" s="103"/>
      <c r="D1173" s="103"/>
      <c r="E1173" s="103"/>
      <c r="F1173" s="102"/>
      <c r="G1173" s="102"/>
    </row>
    <row r="1174" spans="3:8" x14ac:dyDescent="0.25">
      <c r="C1174" s="103"/>
      <c r="D1174" s="103"/>
      <c r="E1174" s="103"/>
      <c r="F1174" s="102"/>
      <c r="G1174" s="102"/>
    </row>
    <row r="1175" spans="3:8" x14ac:dyDescent="0.25">
      <c r="C1175" s="103"/>
      <c r="D1175" s="103"/>
      <c r="E1175" s="103"/>
      <c r="F1175" s="102"/>
      <c r="G1175" s="102"/>
    </row>
    <row r="1176" spans="3:8" x14ac:dyDescent="0.25">
      <c r="C1176" s="103"/>
      <c r="D1176" s="103"/>
      <c r="E1176" s="103"/>
      <c r="F1176" s="102"/>
      <c r="G1176" s="102"/>
    </row>
    <row r="1177" spans="3:8" x14ac:dyDescent="0.25">
      <c r="C1177" s="103"/>
      <c r="D1177" s="103"/>
      <c r="E1177" s="103"/>
      <c r="F1177" s="102"/>
      <c r="G1177" s="102"/>
    </row>
    <row r="1178" spans="3:8" x14ac:dyDescent="0.25">
      <c r="C1178" s="103"/>
      <c r="D1178" s="103"/>
      <c r="E1178" s="103"/>
      <c r="F1178" s="102"/>
      <c r="G1178" s="102"/>
    </row>
    <row r="1179" spans="3:8" x14ac:dyDescent="0.25">
      <c r="C1179" s="103"/>
      <c r="D1179" s="103"/>
      <c r="E1179" s="103"/>
      <c r="F1179" s="102"/>
      <c r="G1179" s="102"/>
    </row>
    <row r="1180" spans="3:8" x14ac:dyDescent="0.25">
      <c r="C1180" s="103"/>
      <c r="D1180" s="103"/>
      <c r="E1180" s="103"/>
      <c r="F1180" s="102"/>
      <c r="G1180" s="102"/>
    </row>
    <row r="1181" spans="3:8" x14ac:dyDescent="0.25">
      <c r="C1181" s="103"/>
      <c r="D1181" s="103"/>
      <c r="E1181" s="103"/>
      <c r="F1181" s="102"/>
      <c r="G1181" s="102"/>
    </row>
    <row r="1182" spans="3:8" x14ac:dyDescent="0.25">
      <c r="C1182" s="103"/>
      <c r="D1182" s="103"/>
      <c r="E1182" s="103"/>
      <c r="F1182" s="102"/>
      <c r="G1182" s="102"/>
    </row>
    <row r="1183" spans="3:8" x14ac:dyDescent="0.25">
      <c r="C1183" s="103"/>
      <c r="D1183" s="103"/>
      <c r="E1183" s="103"/>
      <c r="F1183" s="102"/>
      <c r="G1183" s="102"/>
    </row>
    <row r="1184" spans="3:8" x14ac:dyDescent="0.25">
      <c r="C1184" s="103"/>
      <c r="D1184" s="103"/>
      <c r="E1184" s="103"/>
      <c r="F1184" s="102"/>
      <c r="G1184" s="102"/>
    </row>
    <row r="1185" spans="3:8" x14ac:dyDescent="0.25">
      <c r="C1185" s="96"/>
      <c r="D1185" s="96"/>
      <c r="H1185" s="96"/>
    </row>
    <row r="1186" spans="3:8" x14ac:dyDescent="0.25">
      <c r="C1186" s="96"/>
      <c r="D1186" s="96"/>
      <c r="H1186" s="96"/>
    </row>
    <row r="1187" spans="3:8" x14ac:dyDescent="0.25">
      <c r="C1187" s="96"/>
      <c r="D1187" s="96"/>
      <c r="H1187" s="96"/>
    </row>
    <row r="1188" spans="3:8" x14ac:dyDescent="0.25">
      <c r="C1188" s="96"/>
      <c r="D1188" s="96"/>
      <c r="H1188" s="96"/>
    </row>
    <row r="1189" spans="3:8" x14ac:dyDescent="0.25">
      <c r="C1189" s="96"/>
      <c r="D1189" s="96"/>
      <c r="H1189" s="96"/>
    </row>
    <row r="1190" spans="3:8" x14ac:dyDescent="0.25">
      <c r="C1190" s="96"/>
      <c r="D1190" s="96"/>
      <c r="H1190" s="96"/>
    </row>
    <row r="1191" spans="3:8" x14ac:dyDescent="0.25">
      <c r="C1191" s="96"/>
      <c r="D1191" s="96"/>
      <c r="H1191" s="96"/>
    </row>
    <row r="1192" spans="3:8" x14ac:dyDescent="0.25">
      <c r="C1192" s="96"/>
      <c r="D1192" s="96"/>
      <c r="H1192" s="96"/>
    </row>
    <row r="1193" spans="3:8" x14ac:dyDescent="0.25">
      <c r="C1193" s="96"/>
      <c r="D1193" s="96"/>
      <c r="H1193" s="96"/>
    </row>
    <row r="1194" spans="3:8" x14ac:dyDescent="0.25">
      <c r="C1194" s="96"/>
      <c r="D1194" s="96"/>
      <c r="H1194" s="96"/>
    </row>
    <row r="1195" spans="3:8" x14ac:dyDescent="0.25">
      <c r="C1195" s="96"/>
      <c r="D1195" s="96"/>
      <c r="H1195" s="96"/>
    </row>
    <row r="1196" spans="3:8" x14ac:dyDescent="0.25">
      <c r="C1196" s="96"/>
      <c r="D1196" s="96"/>
      <c r="H1196" s="96"/>
    </row>
    <row r="1197" spans="3:8" x14ac:dyDescent="0.25">
      <c r="C1197" s="96"/>
      <c r="D1197" s="96"/>
      <c r="H1197" s="96"/>
    </row>
    <row r="1198" spans="3:8" x14ac:dyDescent="0.25">
      <c r="C1198" s="96"/>
      <c r="D1198" s="96"/>
      <c r="H1198" s="96"/>
    </row>
    <row r="1199" spans="3:8" x14ac:dyDescent="0.25">
      <c r="C1199" s="96"/>
      <c r="D1199" s="96"/>
      <c r="H1199" s="96"/>
    </row>
    <row r="1200" spans="3:8" x14ac:dyDescent="0.25">
      <c r="C1200" s="96"/>
      <c r="D1200" s="96"/>
      <c r="H1200" s="96"/>
    </row>
    <row r="1201" spans="3:11" x14ac:dyDescent="0.25">
      <c r="C1201" s="96"/>
      <c r="D1201" s="96"/>
      <c r="H1201" s="96"/>
    </row>
    <row r="1202" spans="3:11" x14ac:dyDescent="0.25">
      <c r="C1202" s="96"/>
      <c r="D1202" s="96"/>
      <c r="H1202" s="96"/>
    </row>
    <row r="1203" spans="3:11" x14ac:dyDescent="0.25">
      <c r="C1203" s="96"/>
      <c r="D1203" s="96"/>
      <c r="H1203" s="96"/>
    </row>
    <row r="1204" spans="3:11" x14ac:dyDescent="0.25">
      <c r="C1204" s="96"/>
      <c r="D1204" s="96"/>
      <c r="H1204" s="96"/>
    </row>
    <row r="1205" spans="3:11" x14ac:dyDescent="0.25">
      <c r="C1205" s="135"/>
      <c r="D1205" s="135"/>
      <c r="E1205" s="135"/>
      <c r="F1205" s="114"/>
      <c r="G1205" s="114"/>
      <c r="H1205" s="135"/>
      <c r="I1205" s="114"/>
      <c r="J1205" s="114"/>
      <c r="K1205" s="114"/>
    </row>
    <row r="1206" spans="3:11" x14ac:dyDescent="0.25">
      <c r="C1206" s="96"/>
      <c r="D1206" s="96"/>
      <c r="H1206" s="96"/>
    </row>
    <row r="1207" spans="3:11" x14ac:dyDescent="0.25">
      <c r="C1207" s="96"/>
      <c r="D1207" s="96"/>
      <c r="H1207" s="96"/>
    </row>
    <row r="1208" spans="3:11" x14ac:dyDescent="0.25">
      <c r="C1208" s="96"/>
      <c r="D1208" s="96"/>
      <c r="H1208" s="96"/>
    </row>
    <row r="1209" spans="3:11" x14ac:dyDescent="0.25">
      <c r="C1209" s="96"/>
      <c r="D1209" s="96"/>
      <c r="H1209" s="96"/>
    </row>
    <row r="1210" spans="3:11" x14ac:dyDescent="0.25">
      <c r="C1210" s="96"/>
      <c r="D1210" s="96"/>
      <c r="H1210" s="96"/>
    </row>
    <row r="1211" spans="3:11" x14ac:dyDescent="0.25">
      <c r="C1211" s="96"/>
      <c r="D1211" s="96"/>
      <c r="H1211" s="96"/>
    </row>
    <row r="1212" spans="3:11" x14ac:dyDescent="0.25">
      <c r="C1212" s="96"/>
      <c r="D1212" s="96"/>
      <c r="H1212" s="96"/>
    </row>
    <row r="1213" spans="3:11" x14ac:dyDescent="0.25">
      <c r="C1213" s="96"/>
      <c r="D1213" s="96"/>
      <c r="H1213" s="96"/>
    </row>
    <row r="1214" spans="3:11" x14ac:dyDescent="0.25">
      <c r="C1214" s="96"/>
      <c r="D1214" s="96"/>
      <c r="H1214" s="96"/>
    </row>
    <row r="1215" spans="3:11" x14ac:dyDescent="0.25">
      <c r="C1215" s="96"/>
      <c r="D1215" s="96"/>
      <c r="H1215" s="96"/>
    </row>
    <row r="1216" spans="3:11" x14ac:dyDescent="0.25">
      <c r="C1216" s="96"/>
      <c r="D1216" s="96"/>
      <c r="H1216" s="96"/>
    </row>
    <row r="1217" spans="3:8" x14ac:dyDescent="0.25">
      <c r="C1217" s="96"/>
      <c r="D1217" s="96"/>
      <c r="H1217" s="96"/>
    </row>
    <row r="1218" spans="3:8" x14ac:dyDescent="0.25">
      <c r="C1218" s="96"/>
      <c r="D1218" s="96"/>
      <c r="H1218" s="96"/>
    </row>
    <row r="1219" spans="3:8" x14ac:dyDescent="0.25">
      <c r="C1219" s="96"/>
      <c r="D1219" s="96"/>
      <c r="H1219" s="96"/>
    </row>
    <row r="1220" spans="3:8" x14ac:dyDescent="0.25">
      <c r="C1220" s="96"/>
      <c r="D1220" s="96"/>
      <c r="H1220" s="96"/>
    </row>
    <row r="1221" spans="3:8" x14ac:dyDescent="0.25">
      <c r="C1221" s="96"/>
      <c r="D1221" s="96"/>
      <c r="H1221" s="96"/>
    </row>
    <row r="1222" spans="3:8" x14ac:dyDescent="0.25">
      <c r="C1222" s="96"/>
      <c r="D1222" s="96"/>
      <c r="H1222" s="96"/>
    </row>
    <row r="1223" spans="3:8" x14ac:dyDescent="0.25">
      <c r="C1223" s="96"/>
      <c r="D1223" s="96"/>
      <c r="H1223" s="96"/>
    </row>
    <row r="1224" spans="3:8" x14ac:dyDescent="0.25">
      <c r="C1224" s="96"/>
      <c r="D1224" s="96"/>
      <c r="H1224" s="96"/>
    </row>
    <row r="1225" spans="3:8" x14ac:dyDescent="0.25">
      <c r="C1225" s="96"/>
      <c r="D1225" s="96"/>
      <c r="H1225" s="96"/>
    </row>
    <row r="1226" spans="3:8" x14ac:dyDescent="0.25">
      <c r="C1226" s="96"/>
      <c r="D1226" s="96"/>
      <c r="H1226" s="96"/>
    </row>
    <row r="1227" spans="3:8" x14ac:dyDescent="0.25">
      <c r="C1227" s="96"/>
      <c r="D1227" s="96"/>
      <c r="H1227" s="96"/>
    </row>
    <row r="1228" spans="3:8" x14ac:dyDescent="0.25">
      <c r="C1228" s="96"/>
      <c r="D1228" s="96"/>
      <c r="H1228" s="96"/>
    </row>
    <row r="1229" spans="3:8" x14ac:dyDescent="0.25">
      <c r="C1229" s="96"/>
      <c r="D1229" s="96"/>
      <c r="H1229" s="96"/>
    </row>
    <row r="1230" spans="3:8" x14ac:dyDescent="0.25">
      <c r="C1230" s="96"/>
      <c r="D1230" s="96"/>
      <c r="H1230" s="96"/>
    </row>
    <row r="1231" spans="3:8" x14ac:dyDescent="0.25">
      <c r="C1231" s="96"/>
      <c r="D1231" s="96"/>
      <c r="H1231" s="96"/>
    </row>
    <row r="1232" spans="3:8" x14ac:dyDescent="0.25">
      <c r="C1232" s="96"/>
      <c r="D1232" s="96"/>
      <c r="H1232" s="96"/>
    </row>
    <row r="1233" spans="3:8" x14ac:dyDescent="0.25">
      <c r="C1233" s="96"/>
      <c r="D1233" s="96"/>
      <c r="H1233" s="96"/>
    </row>
    <row r="1234" spans="3:8" x14ac:dyDescent="0.25">
      <c r="C1234" s="96"/>
      <c r="D1234" s="96"/>
      <c r="H1234" s="96"/>
    </row>
    <row r="1235" spans="3:8" x14ac:dyDescent="0.25">
      <c r="C1235" s="96"/>
      <c r="D1235" s="96"/>
      <c r="H1235" s="96"/>
    </row>
    <row r="1236" spans="3:8" x14ac:dyDescent="0.25">
      <c r="C1236" s="96"/>
      <c r="D1236" s="96"/>
      <c r="H1236" s="96"/>
    </row>
    <row r="1237" spans="3:8" x14ac:dyDescent="0.25">
      <c r="C1237" s="96"/>
      <c r="D1237" s="96"/>
      <c r="H1237" s="96"/>
    </row>
    <row r="1238" spans="3:8" x14ac:dyDescent="0.25">
      <c r="C1238" s="96"/>
      <c r="D1238" s="96"/>
      <c r="H1238" s="96"/>
    </row>
    <row r="1239" spans="3:8" x14ac:dyDescent="0.25">
      <c r="C1239" s="96"/>
      <c r="D1239" s="96"/>
      <c r="H1239" s="96"/>
    </row>
    <row r="1240" spans="3:8" x14ac:dyDescent="0.25">
      <c r="C1240" s="96"/>
      <c r="D1240" s="96"/>
      <c r="H1240" s="96"/>
    </row>
    <row r="1241" spans="3:8" x14ac:dyDescent="0.25">
      <c r="C1241" s="96"/>
      <c r="D1241" s="96"/>
      <c r="H1241" s="96"/>
    </row>
    <row r="1242" spans="3:8" x14ac:dyDescent="0.25">
      <c r="C1242" s="96"/>
      <c r="D1242" s="96"/>
      <c r="H1242" s="96"/>
    </row>
    <row r="1243" spans="3:8" x14ac:dyDescent="0.25">
      <c r="C1243" s="96"/>
      <c r="D1243" s="96"/>
      <c r="H1243" s="96"/>
    </row>
    <row r="1244" spans="3:8" x14ac:dyDescent="0.25">
      <c r="C1244" s="96"/>
      <c r="D1244" s="96"/>
      <c r="H1244" s="96"/>
    </row>
    <row r="1245" spans="3:8" x14ac:dyDescent="0.25">
      <c r="C1245" s="96"/>
      <c r="D1245" s="96"/>
      <c r="H1245" s="96"/>
    </row>
    <row r="1246" spans="3:8" x14ac:dyDescent="0.25">
      <c r="C1246" s="96"/>
      <c r="D1246" s="96"/>
      <c r="H1246" s="96"/>
    </row>
    <row r="1247" spans="3:8" x14ac:dyDescent="0.25">
      <c r="C1247" s="96"/>
      <c r="D1247" s="96"/>
      <c r="H1247" s="96"/>
    </row>
    <row r="1248" spans="3:8" x14ac:dyDescent="0.25">
      <c r="C1248" s="96"/>
      <c r="D1248" s="96"/>
      <c r="H1248" s="96"/>
    </row>
    <row r="1249" spans="3:8" x14ac:dyDescent="0.25">
      <c r="C1249" s="96"/>
      <c r="D1249" s="96"/>
      <c r="H1249" s="96"/>
    </row>
    <row r="1250" spans="3:8" x14ac:dyDescent="0.25">
      <c r="C1250" s="96"/>
      <c r="D1250" s="96"/>
      <c r="H1250" s="96"/>
    </row>
    <row r="1251" spans="3:8" x14ac:dyDescent="0.25">
      <c r="C1251" s="96"/>
      <c r="D1251" s="96"/>
      <c r="H1251" s="96"/>
    </row>
    <row r="1252" spans="3:8" x14ac:dyDescent="0.25">
      <c r="C1252" s="96"/>
      <c r="D1252" s="96"/>
      <c r="H1252" s="96"/>
    </row>
    <row r="1253" spans="3:8" x14ac:dyDescent="0.25">
      <c r="C1253" s="96"/>
      <c r="D1253" s="96"/>
      <c r="H1253" s="96"/>
    </row>
    <row r="1254" spans="3:8" x14ac:dyDescent="0.25">
      <c r="C1254" s="96"/>
      <c r="D1254" s="96"/>
      <c r="H1254" s="96"/>
    </row>
    <row r="1255" spans="3:8" x14ac:dyDescent="0.25">
      <c r="C1255" s="96"/>
      <c r="D1255" s="96"/>
      <c r="H1255" s="96"/>
    </row>
    <row r="1256" spans="3:8" x14ac:dyDescent="0.25">
      <c r="C1256" s="96"/>
      <c r="D1256" s="96"/>
      <c r="H1256" s="96"/>
    </row>
    <row r="1257" spans="3:8" x14ac:dyDescent="0.25">
      <c r="C1257" s="96"/>
      <c r="D1257" s="96"/>
      <c r="H1257" s="96"/>
    </row>
    <row r="1258" spans="3:8" x14ac:dyDescent="0.25">
      <c r="C1258" s="96"/>
      <c r="D1258" s="96"/>
      <c r="H1258" s="96"/>
    </row>
    <row r="1259" spans="3:8" x14ac:dyDescent="0.25">
      <c r="C1259" s="96"/>
      <c r="D1259" s="96"/>
      <c r="H1259" s="96"/>
    </row>
    <row r="1260" spans="3:8" x14ac:dyDescent="0.25">
      <c r="C1260" s="96"/>
      <c r="D1260" s="96"/>
      <c r="H1260" s="96"/>
    </row>
    <row r="1261" spans="3:8" x14ac:dyDescent="0.25">
      <c r="C1261" s="96"/>
      <c r="D1261" s="96"/>
      <c r="H1261" s="96"/>
    </row>
    <row r="1262" spans="3:8" x14ac:dyDescent="0.25">
      <c r="C1262" s="96"/>
      <c r="D1262" s="96"/>
      <c r="H1262" s="96"/>
    </row>
    <row r="1263" spans="3:8" x14ac:dyDescent="0.25">
      <c r="C1263" s="96"/>
      <c r="D1263" s="96"/>
      <c r="H1263" s="96"/>
    </row>
    <row r="1264" spans="3:8" x14ac:dyDescent="0.25">
      <c r="C1264" s="96"/>
      <c r="D1264" s="96"/>
      <c r="H1264" s="96"/>
    </row>
    <row r="1265" spans="3:8" x14ac:dyDescent="0.25">
      <c r="C1265" s="96"/>
      <c r="D1265" s="96"/>
      <c r="H1265" s="96"/>
    </row>
    <row r="1266" spans="3:8" x14ac:dyDescent="0.25">
      <c r="C1266" s="96"/>
      <c r="D1266" s="96"/>
      <c r="H1266" s="96"/>
    </row>
    <row r="1267" spans="3:8" x14ac:dyDescent="0.25">
      <c r="C1267" s="96"/>
      <c r="D1267" s="96"/>
      <c r="H1267" s="96"/>
    </row>
    <row r="1268" spans="3:8" x14ac:dyDescent="0.25">
      <c r="C1268" s="96"/>
      <c r="D1268" s="96"/>
      <c r="H1268" s="96"/>
    </row>
    <row r="1269" spans="3:8" x14ac:dyDescent="0.25">
      <c r="C1269" s="96"/>
      <c r="D1269" s="96"/>
      <c r="H1269" s="96"/>
    </row>
    <row r="1270" spans="3:8" x14ac:dyDescent="0.25">
      <c r="C1270" s="96"/>
      <c r="D1270" s="96"/>
      <c r="H1270" s="96"/>
    </row>
    <row r="1271" spans="3:8" x14ac:dyDescent="0.25">
      <c r="C1271" s="96"/>
      <c r="D1271" s="96"/>
      <c r="H1271" s="96"/>
    </row>
    <row r="1272" spans="3:8" x14ac:dyDescent="0.25">
      <c r="C1272" s="96"/>
      <c r="D1272" s="96"/>
      <c r="H1272" s="96"/>
    </row>
    <row r="1273" spans="3:8" x14ac:dyDescent="0.25">
      <c r="C1273" s="96"/>
      <c r="D1273" s="96"/>
      <c r="H1273" s="96"/>
    </row>
    <row r="1274" spans="3:8" x14ac:dyDescent="0.25">
      <c r="C1274" s="96"/>
      <c r="D1274" s="96"/>
      <c r="H1274" s="96"/>
    </row>
    <row r="1275" spans="3:8" x14ac:dyDescent="0.25">
      <c r="C1275" s="96"/>
      <c r="D1275" s="96"/>
      <c r="H1275" s="96"/>
    </row>
    <row r="1276" spans="3:8" x14ac:dyDescent="0.25">
      <c r="C1276" s="96"/>
      <c r="D1276" s="96"/>
      <c r="H1276" s="96"/>
    </row>
    <row r="1277" spans="3:8" x14ac:dyDescent="0.25">
      <c r="C1277" s="96"/>
      <c r="D1277" s="96"/>
      <c r="H1277" s="96"/>
    </row>
    <row r="1278" spans="3:8" x14ac:dyDescent="0.25">
      <c r="C1278" s="96"/>
      <c r="D1278" s="96"/>
      <c r="H1278" s="96"/>
    </row>
    <row r="1279" spans="3:8" x14ac:dyDescent="0.25">
      <c r="C1279" s="96"/>
      <c r="D1279" s="96"/>
      <c r="H1279" s="96"/>
    </row>
    <row r="1280" spans="3:8" x14ac:dyDescent="0.25">
      <c r="C1280" s="96"/>
      <c r="D1280" s="96"/>
      <c r="H1280" s="96"/>
    </row>
    <row r="1281" spans="3:8" x14ac:dyDescent="0.25">
      <c r="C1281" s="96"/>
      <c r="D1281" s="96"/>
      <c r="H1281" s="96"/>
    </row>
    <row r="1282" spans="3:8" x14ac:dyDescent="0.25">
      <c r="C1282" s="96"/>
      <c r="D1282" s="96"/>
      <c r="H1282" s="96"/>
    </row>
    <row r="1283" spans="3:8" x14ac:dyDescent="0.25">
      <c r="C1283" s="96"/>
      <c r="D1283" s="96"/>
      <c r="H1283" s="96"/>
    </row>
    <row r="1284" spans="3:8" x14ac:dyDescent="0.25">
      <c r="C1284" s="96"/>
      <c r="D1284" s="96"/>
      <c r="H1284" s="96"/>
    </row>
    <row r="1285" spans="3:8" x14ac:dyDescent="0.25">
      <c r="C1285" s="96"/>
      <c r="D1285" s="96"/>
      <c r="H1285" s="96"/>
    </row>
    <row r="1286" spans="3:8" x14ac:dyDescent="0.25">
      <c r="C1286" s="96"/>
      <c r="D1286" s="96"/>
      <c r="H1286" s="96"/>
    </row>
    <row r="1287" spans="3:8" x14ac:dyDescent="0.25">
      <c r="C1287" s="96"/>
      <c r="D1287" s="96"/>
      <c r="H1287" s="96"/>
    </row>
    <row r="1288" spans="3:8" x14ac:dyDescent="0.25">
      <c r="C1288" s="96"/>
      <c r="D1288" s="96"/>
      <c r="H1288" s="96"/>
    </row>
    <row r="1289" spans="3:8" x14ac:dyDescent="0.25">
      <c r="C1289" s="96"/>
      <c r="D1289" s="96"/>
      <c r="H1289" s="96"/>
    </row>
    <row r="1290" spans="3:8" x14ac:dyDescent="0.25">
      <c r="C1290" s="96"/>
      <c r="D1290" s="96"/>
      <c r="H1290" s="96"/>
    </row>
    <row r="1291" spans="3:8" x14ac:dyDescent="0.25">
      <c r="C1291" s="96"/>
      <c r="D1291" s="96"/>
      <c r="H1291" s="96"/>
    </row>
    <row r="1292" spans="3:8" x14ac:dyDescent="0.25">
      <c r="C1292" s="96"/>
      <c r="D1292" s="96"/>
      <c r="H1292" s="96"/>
    </row>
    <row r="1293" spans="3:8" x14ac:dyDescent="0.25">
      <c r="C1293" s="96"/>
      <c r="D1293" s="96"/>
      <c r="H1293" s="96"/>
    </row>
    <row r="1294" spans="3:8" x14ac:dyDescent="0.25">
      <c r="C1294" s="96"/>
      <c r="D1294" s="96"/>
      <c r="H1294" s="96"/>
    </row>
    <row r="1295" spans="3:8" x14ac:dyDescent="0.25">
      <c r="C1295" s="96"/>
      <c r="D1295" s="96"/>
      <c r="H1295" s="96"/>
    </row>
    <row r="1296" spans="3:8" x14ac:dyDescent="0.25">
      <c r="C1296" s="96"/>
      <c r="D1296" s="96"/>
      <c r="H1296" s="96"/>
    </row>
    <row r="1297" spans="3:11" x14ac:dyDescent="0.25">
      <c r="C1297" s="96"/>
      <c r="D1297" s="96"/>
      <c r="H1297" s="96"/>
    </row>
    <row r="1298" spans="3:11" x14ac:dyDescent="0.25">
      <c r="C1298" s="96"/>
      <c r="D1298" s="96"/>
      <c r="H1298" s="96"/>
    </row>
    <row r="1299" spans="3:11" x14ac:dyDescent="0.25">
      <c r="C1299" s="96"/>
      <c r="D1299" s="96"/>
      <c r="H1299" s="96"/>
    </row>
    <row r="1300" spans="3:11" x14ac:dyDescent="0.25">
      <c r="C1300" s="96"/>
      <c r="D1300" s="96"/>
      <c r="H1300" s="96"/>
    </row>
    <row r="1301" spans="3:11" x14ac:dyDescent="0.25">
      <c r="C1301" s="96"/>
      <c r="D1301" s="96"/>
      <c r="H1301" s="96"/>
    </row>
    <row r="1302" spans="3:11" x14ac:dyDescent="0.25">
      <c r="C1302" s="96"/>
      <c r="D1302" s="96"/>
      <c r="H1302" s="96"/>
    </row>
    <row r="1303" spans="3:11" x14ac:dyDescent="0.25">
      <c r="C1303" s="96"/>
      <c r="D1303" s="96"/>
      <c r="H1303" s="96"/>
    </row>
    <row r="1304" spans="3:11" x14ac:dyDescent="0.25">
      <c r="C1304" s="96"/>
      <c r="D1304" s="96"/>
      <c r="H1304" s="96"/>
    </row>
    <row r="1305" spans="3:11" x14ac:dyDescent="0.25">
      <c r="C1305" s="96"/>
      <c r="D1305" s="96"/>
      <c r="H1305" s="96"/>
    </row>
    <row r="1306" spans="3:11" x14ac:dyDescent="0.25">
      <c r="C1306" s="96"/>
      <c r="D1306" s="96"/>
      <c r="H1306" s="96"/>
    </row>
    <row r="1307" spans="3:11" x14ac:dyDescent="0.25">
      <c r="C1307" s="96"/>
      <c r="D1307" s="96"/>
      <c r="H1307" s="96"/>
    </row>
    <row r="1308" spans="3:11" x14ac:dyDescent="0.25">
      <c r="C1308" s="96"/>
      <c r="D1308" s="96"/>
      <c r="H1308" s="96"/>
    </row>
    <row r="1309" spans="3:11" x14ac:dyDescent="0.25">
      <c r="C1309" s="96"/>
      <c r="D1309" s="96"/>
      <c r="H1309" s="96"/>
    </row>
    <row r="1310" spans="3:11" x14ac:dyDescent="0.25">
      <c r="C1310" s="96"/>
      <c r="D1310" s="96"/>
      <c r="H1310" s="96"/>
    </row>
    <row r="1311" spans="3:11" x14ac:dyDescent="0.25">
      <c r="C1311" s="96"/>
      <c r="D1311" s="96"/>
      <c r="H1311" s="96"/>
    </row>
    <row r="1312" spans="3:11" x14ac:dyDescent="0.25">
      <c r="C1312" s="135"/>
      <c r="D1312" s="135"/>
      <c r="E1312" s="135"/>
      <c r="F1312" s="114"/>
      <c r="G1312" s="114"/>
      <c r="H1312" s="135"/>
      <c r="I1312" s="114"/>
      <c r="J1312" s="114"/>
      <c r="K1312" s="114"/>
    </row>
    <row r="1313" spans="3:8" x14ac:dyDescent="0.25">
      <c r="C1313" s="96"/>
      <c r="D1313" s="96"/>
      <c r="H1313" s="96"/>
    </row>
    <row r="1314" spans="3:8" x14ac:dyDescent="0.25">
      <c r="C1314" s="96"/>
      <c r="D1314" s="96"/>
      <c r="H1314" s="96"/>
    </row>
    <row r="1315" spans="3:8" x14ac:dyDescent="0.25">
      <c r="C1315" s="96"/>
      <c r="D1315" s="96"/>
      <c r="H1315" s="96"/>
    </row>
    <row r="1316" spans="3:8" x14ac:dyDescent="0.25">
      <c r="C1316" s="96"/>
      <c r="D1316" s="96"/>
      <c r="H1316" s="96"/>
    </row>
    <row r="1317" spans="3:8" x14ac:dyDescent="0.25">
      <c r="C1317" s="96"/>
      <c r="D1317" s="96"/>
      <c r="H1317" s="96"/>
    </row>
    <row r="1318" spans="3:8" x14ac:dyDescent="0.25">
      <c r="C1318" s="96"/>
      <c r="D1318" s="96"/>
      <c r="H1318" s="96"/>
    </row>
    <row r="1319" spans="3:8" x14ac:dyDescent="0.25">
      <c r="C1319" s="96"/>
      <c r="D1319" s="96"/>
      <c r="H1319" s="96"/>
    </row>
    <row r="1320" spans="3:8" x14ac:dyDescent="0.25">
      <c r="C1320" s="96"/>
      <c r="D1320" s="96"/>
      <c r="H1320" s="96"/>
    </row>
    <row r="1321" spans="3:8" x14ac:dyDescent="0.25">
      <c r="C1321" s="96"/>
      <c r="D1321" s="96"/>
      <c r="H1321" s="96"/>
    </row>
    <row r="1322" spans="3:8" x14ac:dyDescent="0.25">
      <c r="C1322" s="96"/>
      <c r="D1322" s="96"/>
      <c r="H1322" s="96"/>
    </row>
    <row r="1323" spans="3:8" x14ac:dyDescent="0.25">
      <c r="C1323" s="96"/>
      <c r="D1323" s="96"/>
      <c r="H1323" s="96"/>
    </row>
    <row r="1324" spans="3:8" x14ac:dyDescent="0.25">
      <c r="C1324" s="96"/>
      <c r="D1324" s="96"/>
      <c r="H1324" s="96"/>
    </row>
    <row r="1325" spans="3:8" x14ac:dyDescent="0.25">
      <c r="C1325" s="96"/>
      <c r="D1325" s="96"/>
      <c r="H1325" s="96"/>
    </row>
    <row r="1326" spans="3:8" x14ac:dyDescent="0.25">
      <c r="C1326" s="96"/>
      <c r="D1326" s="96"/>
      <c r="H1326" s="96"/>
    </row>
    <row r="1327" spans="3:8" x14ac:dyDescent="0.25">
      <c r="C1327" s="96"/>
      <c r="D1327" s="96"/>
      <c r="H1327" s="96"/>
    </row>
    <row r="1328" spans="3:8" x14ac:dyDescent="0.25">
      <c r="C1328" s="96"/>
      <c r="D1328" s="96"/>
      <c r="H1328" s="96"/>
    </row>
    <row r="1329" spans="3:8" x14ac:dyDescent="0.25">
      <c r="C1329" s="96"/>
      <c r="D1329" s="96"/>
      <c r="H1329" s="96"/>
    </row>
    <row r="1330" spans="3:8" x14ac:dyDescent="0.25">
      <c r="C1330" s="96"/>
      <c r="D1330" s="96"/>
      <c r="H1330" s="96"/>
    </row>
    <row r="1331" spans="3:8" x14ac:dyDescent="0.25">
      <c r="C1331" s="96"/>
      <c r="D1331" s="96"/>
      <c r="H1331" s="96"/>
    </row>
    <row r="1332" spans="3:8" x14ac:dyDescent="0.25">
      <c r="C1332" s="96"/>
      <c r="D1332" s="96"/>
      <c r="H1332" s="96"/>
    </row>
    <row r="1333" spans="3:8" x14ac:dyDescent="0.25">
      <c r="C1333" s="96"/>
      <c r="D1333" s="96"/>
      <c r="H1333" s="96"/>
    </row>
    <row r="1334" spans="3:8" x14ac:dyDescent="0.25">
      <c r="C1334" s="96"/>
      <c r="D1334" s="96"/>
      <c r="H1334" s="96"/>
    </row>
    <row r="1335" spans="3:8" x14ac:dyDescent="0.25">
      <c r="C1335" s="96"/>
      <c r="D1335" s="96"/>
      <c r="H1335" s="96"/>
    </row>
    <row r="1336" spans="3:8" x14ac:dyDescent="0.25">
      <c r="C1336" s="96"/>
      <c r="D1336" s="96"/>
      <c r="H1336" s="96"/>
    </row>
    <row r="1337" spans="3:8" x14ac:dyDescent="0.25">
      <c r="C1337" s="96"/>
      <c r="D1337" s="96"/>
      <c r="H1337" s="96"/>
    </row>
    <row r="1338" spans="3:8" x14ac:dyDescent="0.25">
      <c r="C1338" s="96"/>
      <c r="D1338" s="96"/>
      <c r="H1338" s="96"/>
    </row>
    <row r="1339" spans="3:8" x14ac:dyDescent="0.25">
      <c r="C1339" s="96"/>
      <c r="D1339" s="96"/>
      <c r="H1339" s="96"/>
    </row>
    <row r="1340" spans="3:8" x14ac:dyDescent="0.25">
      <c r="C1340" s="96"/>
      <c r="D1340" s="96"/>
      <c r="H1340" s="96"/>
    </row>
    <row r="1341" spans="3:8" x14ac:dyDescent="0.25">
      <c r="C1341" s="96"/>
      <c r="D1341" s="96"/>
      <c r="H1341" s="96"/>
    </row>
    <row r="1342" spans="3:8" x14ac:dyDescent="0.25">
      <c r="C1342" s="96"/>
      <c r="D1342" s="96"/>
      <c r="H1342" s="96"/>
    </row>
    <row r="1343" spans="3:8" x14ac:dyDescent="0.25">
      <c r="C1343" s="96"/>
      <c r="D1343" s="96"/>
      <c r="H1343" s="96"/>
    </row>
    <row r="1344" spans="3:8" x14ac:dyDescent="0.25">
      <c r="C1344" s="96"/>
      <c r="D1344" s="96"/>
      <c r="H1344" s="96"/>
    </row>
    <row r="1345" spans="3:8" x14ac:dyDescent="0.25">
      <c r="C1345" s="96"/>
      <c r="D1345" s="96"/>
      <c r="H1345" s="96"/>
    </row>
    <row r="1346" spans="3:8" x14ac:dyDescent="0.25">
      <c r="C1346" s="96"/>
      <c r="D1346" s="96"/>
      <c r="H1346" s="96"/>
    </row>
    <row r="1347" spans="3:8" x14ac:dyDescent="0.25">
      <c r="C1347" s="96"/>
      <c r="D1347" s="96"/>
      <c r="H1347" s="96"/>
    </row>
    <row r="1348" spans="3:8" x14ac:dyDescent="0.25">
      <c r="C1348" s="96"/>
      <c r="D1348" s="96"/>
      <c r="H1348" s="96"/>
    </row>
    <row r="1349" spans="3:8" x14ac:dyDescent="0.25">
      <c r="C1349" s="96"/>
      <c r="D1349" s="96"/>
      <c r="H1349" s="96"/>
    </row>
    <row r="1350" spans="3:8" x14ac:dyDescent="0.25">
      <c r="C1350" s="96"/>
      <c r="D1350" s="96"/>
      <c r="H1350" s="96"/>
    </row>
    <row r="1351" spans="3:8" x14ac:dyDescent="0.25">
      <c r="C1351" s="96"/>
      <c r="D1351" s="96"/>
      <c r="H1351" s="96"/>
    </row>
    <row r="1352" spans="3:8" x14ac:dyDescent="0.25">
      <c r="C1352" s="96"/>
      <c r="D1352" s="96"/>
      <c r="H1352" s="96"/>
    </row>
    <row r="1353" spans="3:8" x14ac:dyDescent="0.25">
      <c r="C1353" s="96"/>
      <c r="D1353" s="96"/>
      <c r="H1353" s="96"/>
    </row>
    <row r="1354" spans="3:8" x14ac:dyDescent="0.25">
      <c r="C1354" s="96"/>
      <c r="D1354" s="96"/>
      <c r="H1354" s="96"/>
    </row>
    <row r="1355" spans="3:8" x14ac:dyDescent="0.25">
      <c r="C1355" s="96"/>
      <c r="D1355" s="96"/>
      <c r="H1355" s="96"/>
    </row>
    <row r="1356" spans="3:8" x14ac:dyDescent="0.25">
      <c r="C1356" s="96"/>
      <c r="D1356" s="96"/>
      <c r="H1356" s="96"/>
    </row>
    <row r="1357" spans="3:8" x14ac:dyDescent="0.25">
      <c r="C1357" s="96"/>
      <c r="D1357" s="96"/>
      <c r="H1357" s="96"/>
    </row>
    <row r="1358" spans="3:8" x14ac:dyDescent="0.25">
      <c r="C1358" s="96"/>
      <c r="D1358" s="96"/>
      <c r="H1358" s="96"/>
    </row>
    <row r="1359" spans="3:8" x14ac:dyDescent="0.25">
      <c r="C1359" s="96"/>
      <c r="D1359" s="96"/>
      <c r="H1359" s="96"/>
    </row>
    <row r="1360" spans="3:8" x14ac:dyDescent="0.25">
      <c r="C1360" s="96"/>
      <c r="D1360" s="96"/>
      <c r="H1360" s="96"/>
    </row>
    <row r="1361" spans="3:8" x14ac:dyDescent="0.25">
      <c r="C1361" s="96"/>
      <c r="D1361" s="96"/>
      <c r="H1361" s="96"/>
    </row>
    <row r="1362" spans="3:8" x14ac:dyDescent="0.25">
      <c r="C1362" s="96"/>
      <c r="D1362" s="96"/>
      <c r="H1362" s="96"/>
    </row>
    <row r="1363" spans="3:8" x14ac:dyDescent="0.25">
      <c r="C1363" s="96"/>
      <c r="D1363" s="96"/>
      <c r="H1363" s="96"/>
    </row>
    <row r="1364" spans="3:8" x14ac:dyDescent="0.25">
      <c r="C1364" s="96"/>
      <c r="D1364" s="96"/>
      <c r="H1364" s="96"/>
    </row>
    <row r="1365" spans="3:8" x14ac:dyDescent="0.25">
      <c r="C1365" s="96"/>
      <c r="D1365" s="96"/>
      <c r="H1365" s="96"/>
    </row>
    <row r="1366" spans="3:8" x14ac:dyDescent="0.25">
      <c r="C1366" s="96"/>
      <c r="D1366" s="96"/>
      <c r="H1366" s="96"/>
    </row>
    <row r="1367" spans="3:8" x14ac:dyDescent="0.25">
      <c r="C1367" s="96"/>
      <c r="D1367" s="96"/>
      <c r="H1367" s="96"/>
    </row>
    <row r="1368" spans="3:8" x14ac:dyDescent="0.25">
      <c r="C1368" s="96"/>
      <c r="D1368" s="96"/>
      <c r="H1368" s="96"/>
    </row>
    <row r="1369" spans="3:8" x14ac:dyDescent="0.25">
      <c r="C1369" s="96"/>
      <c r="D1369" s="96"/>
      <c r="H1369" s="96"/>
    </row>
    <row r="1370" spans="3:8" x14ac:dyDescent="0.25">
      <c r="C1370" s="96"/>
      <c r="D1370" s="96"/>
      <c r="H1370" s="96"/>
    </row>
    <row r="1371" spans="3:8" x14ac:dyDescent="0.25">
      <c r="C1371" s="96"/>
      <c r="D1371" s="96"/>
      <c r="H1371" s="96"/>
    </row>
    <row r="1372" spans="3:8" x14ac:dyDescent="0.25">
      <c r="C1372" s="96"/>
      <c r="D1372" s="96"/>
      <c r="H1372" s="96"/>
    </row>
    <row r="1373" spans="3:8" x14ac:dyDescent="0.25">
      <c r="C1373" s="96"/>
      <c r="D1373" s="96"/>
      <c r="H1373" s="96"/>
    </row>
    <row r="1374" spans="3:8" x14ac:dyDescent="0.25">
      <c r="C1374" s="96"/>
      <c r="D1374" s="96"/>
      <c r="H1374" s="96"/>
    </row>
    <row r="1375" spans="3:8" x14ac:dyDescent="0.25">
      <c r="C1375" s="96"/>
      <c r="D1375" s="96"/>
      <c r="H1375" s="96"/>
    </row>
    <row r="1376" spans="3:8" x14ac:dyDescent="0.25">
      <c r="C1376" s="96"/>
      <c r="D1376" s="96"/>
      <c r="H1376" s="96"/>
    </row>
    <row r="1377" spans="3:8" x14ac:dyDescent="0.25">
      <c r="C1377" s="96"/>
      <c r="D1377" s="96"/>
      <c r="H1377" s="96"/>
    </row>
    <row r="1378" spans="3:8" x14ac:dyDescent="0.25">
      <c r="C1378" s="96"/>
      <c r="D1378" s="96"/>
      <c r="H1378" s="96"/>
    </row>
    <row r="1379" spans="3:8" x14ac:dyDescent="0.25">
      <c r="C1379" s="96"/>
      <c r="D1379" s="96"/>
      <c r="H1379" s="96"/>
    </row>
    <row r="1380" spans="3:8" x14ac:dyDescent="0.25">
      <c r="C1380" s="96"/>
      <c r="D1380" s="96"/>
      <c r="H1380" s="96"/>
    </row>
    <row r="1381" spans="3:8" x14ac:dyDescent="0.25">
      <c r="C1381" s="96"/>
      <c r="D1381" s="96"/>
      <c r="H1381" s="96"/>
    </row>
    <row r="1382" spans="3:8" x14ac:dyDescent="0.25">
      <c r="C1382" s="96"/>
      <c r="D1382" s="96"/>
      <c r="H1382" s="96"/>
    </row>
    <row r="1383" spans="3:8" x14ac:dyDescent="0.25">
      <c r="C1383" s="96"/>
      <c r="D1383" s="96"/>
      <c r="H1383" s="96"/>
    </row>
    <row r="1384" spans="3:8" x14ac:dyDescent="0.25">
      <c r="C1384" s="96"/>
      <c r="D1384" s="96"/>
      <c r="H1384" s="96"/>
    </row>
    <row r="1385" spans="3:8" x14ac:dyDescent="0.25">
      <c r="C1385" s="96"/>
      <c r="D1385" s="96"/>
      <c r="H1385" s="96"/>
    </row>
    <row r="1386" spans="3:8" x14ac:dyDescent="0.25">
      <c r="C1386" s="96"/>
      <c r="D1386" s="96"/>
      <c r="H1386" s="96"/>
    </row>
    <row r="1387" spans="3:8" x14ac:dyDescent="0.25">
      <c r="C1387" s="96"/>
      <c r="D1387" s="96"/>
      <c r="H1387" s="96"/>
    </row>
    <row r="1388" spans="3:8" x14ac:dyDescent="0.25">
      <c r="C1388" s="96"/>
      <c r="D1388" s="96"/>
      <c r="H1388" s="96"/>
    </row>
    <row r="1389" spans="3:8" x14ac:dyDescent="0.25">
      <c r="C1389" s="96"/>
      <c r="D1389" s="96"/>
      <c r="H1389" s="96"/>
    </row>
    <row r="1390" spans="3:8" x14ac:dyDescent="0.25">
      <c r="C1390" s="96"/>
      <c r="D1390" s="96"/>
      <c r="H1390" s="96"/>
    </row>
    <row r="1391" spans="3:8" x14ac:dyDescent="0.25">
      <c r="C1391" s="96"/>
      <c r="D1391" s="96"/>
      <c r="H1391" s="96"/>
    </row>
    <row r="1392" spans="3:8" x14ac:dyDescent="0.25">
      <c r="C1392" s="96"/>
      <c r="D1392" s="96"/>
      <c r="H1392" s="96"/>
    </row>
    <row r="1393" spans="3:8" x14ac:dyDescent="0.25">
      <c r="C1393" s="96"/>
      <c r="D1393" s="96"/>
      <c r="H1393" s="96"/>
    </row>
    <row r="1394" spans="3:8" x14ac:dyDescent="0.25">
      <c r="C1394" s="96"/>
      <c r="D1394" s="96"/>
      <c r="H1394" s="96"/>
    </row>
    <row r="1395" spans="3:8" x14ac:dyDescent="0.25">
      <c r="C1395" s="96"/>
      <c r="D1395" s="96"/>
      <c r="H1395" s="96"/>
    </row>
    <row r="1396" spans="3:8" x14ac:dyDescent="0.25">
      <c r="C1396" s="96"/>
      <c r="D1396" s="96"/>
      <c r="H1396" s="96"/>
    </row>
    <row r="1397" spans="3:8" x14ac:dyDescent="0.25">
      <c r="C1397" s="96"/>
      <c r="D1397" s="96"/>
      <c r="H1397" s="96"/>
    </row>
    <row r="1398" spans="3:8" x14ac:dyDescent="0.25">
      <c r="C1398" s="96"/>
      <c r="D1398" s="96"/>
      <c r="H1398" s="96"/>
    </row>
    <row r="1399" spans="3:8" x14ac:dyDescent="0.25">
      <c r="C1399" s="96"/>
      <c r="D1399" s="96"/>
      <c r="H1399" s="96"/>
    </row>
    <row r="1400" spans="3:8" x14ac:dyDescent="0.25">
      <c r="C1400" s="96"/>
      <c r="D1400" s="96"/>
      <c r="H1400" s="96"/>
    </row>
    <row r="1401" spans="3:8" x14ac:dyDescent="0.25">
      <c r="C1401" s="96"/>
      <c r="D1401" s="96"/>
      <c r="H1401" s="96"/>
    </row>
    <row r="1402" spans="3:8" x14ac:dyDescent="0.25">
      <c r="C1402" s="96"/>
      <c r="D1402" s="96"/>
      <c r="H1402" s="96"/>
    </row>
    <row r="1403" spans="3:8" x14ac:dyDescent="0.25">
      <c r="C1403" s="96"/>
      <c r="D1403" s="96"/>
      <c r="H1403" s="96"/>
    </row>
    <row r="1404" spans="3:8" x14ac:dyDescent="0.25">
      <c r="C1404" s="96"/>
      <c r="D1404" s="96"/>
      <c r="H1404" s="96"/>
    </row>
    <row r="1405" spans="3:8" x14ac:dyDescent="0.25">
      <c r="C1405" s="96"/>
      <c r="D1405" s="96"/>
      <c r="H1405" s="96"/>
    </row>
    <row r="1406" spans="3:8" x14ac:dyDescent="0.25">
      <c r="C1406" s="96"/>
      <c r="D1406" s="96"/>
      <c r="H1406" s="96"/>
    </row>
    <row r="1407" spans="3:8" x14ac:dyDescent="0.25">
      <c r="C1407" s="96"/>
      <c r="D1407" s="96"/>
      <c r="H1407" s="96"/>
    </row>
    <row r="1408" spans="3:8" x14ac:dyDescent="0.25">
      <c r="C1408" s="96"/>
      <c r="D1408" s="96"/>
      <c r="H1408" s="96"/>
    </row>
    <row r="1409" spans="3:8" x14ac:dyDescent="0.25">
      <c r="C1409" s="96"/>
      <c r="D1409" s="96"/>
      <c r="H1409" s="96"/>
    </row>
    <row r="1410" spans="3:8" x14ac:dyDescent="0.25">
      <c r="C1410" s="96"/>
      <c r="D1410" s="96"/>
      <c r="H1410" s="96"/>
    </row>
    <row r="1411" spans="3:8" x14ac:dyDescent="0.25">
      <c r="C1411" s="96"/>
      <c r="D1411" s="96"/>
      <c r="H1411" s="96"/>
    </row>
    <row r="1412" spans="3:8" x14ac:dyDescent="0.25">
      <c r="C1412" s="96"/>
      <c r="D1412" s="96"/>
      <c r="H1412" s="96"/>
    </row>
    <row r="1413" spans="3:8" x14ac:dyDescent="0.25">
      <c r="C1413" s="96"/>
      <c r="D1413" s="96"/>
      <c r="H1413" s="96"/>
    </row>
    <row r="1414" spans="3:8" x14ac:dyDescent="0.25">
      <c r="C1414" s="96"/>
      <c r="D1414" s="96"/>
      <c r="H1414" s="96"/>
    </row>
    <row r="1415" spans="3:8" x14ac:dyDescent="0.25">
      <c r="C1415" s="96"/>
      <c r="D1415" s="96"/>
      <c r="H1415" s="96"/>
    </row>
    <row r="1416" spans="3:8" x14ac:dyDescent="0.25">
      <c r="C1416" s="96"/>
      <c r="D1416" s="96"/>
      <c r="H1416" s="96"/>
    </row>
    <row r="1417" spans="3:8" x14ac:dyDescent="0.25">
      <c r="C1417" s="96"/>
      <c r="D1417" s="96"/>
      <c r="H1417" s="96"/>
    </row>
    <row r="1418" spans="3:8" x14ac:dyDescent="0.25">
      <c r="C1418" s="96"/>
      <c r="D1418" s="96"/>
      <c r="H1418" s="96"/>
    </row>
    <row r="1419" spans="3:8" x14ac:dyDescent="0.25">
      <c r="C1419" s="96"/>
      <c r="D1419" s="96"/>
      <c r="H1419" s="96"/>
    </row>
    <row r="1420" spans="3:8" x14ac:dyDescent="0.25">
      <c r="C1420" s="96"/>
      <c r="D1420" s="96"/>
      <c r="H1420" s="96"/>
    </row>
    <row r="1421" spans="3:8" x14ac:dyDescent="0.25">
      <c r="C1421" s="96"/>
      <c r="D1421" s="96"/>
      <c r="H1421" s="96"/>
    </row>
    <row r="1422" spans="3:8" x14ac:dyDescent="0.25">
      <c r="C1422" s="96"/>
      <c r="D1422" s="96"/>
      <c r="H1422" s="96"/>
    </row>
    <row r="1423" spans="3:8" x14ac:dyDescent="0.25">
      <c r="C1423" s="96"/>
      <c r="D1423" s="96"/>
      <c r="H1423" s="96"/>
    </row>
    <row r="1424" spans="3:8" x14ac:dyDescent="0.25">
      <c r="C1424" s="96"/>
      <c r="D1424" s="96"/>
      <c r="H1424" s="96"/>
    </row>
    <row r="1425" spans="3:8" x14ac:dyDescent="0.25">
      <c r="C1425" s="96"/>
      <c r="D1425" s="96"/>
      <c r="H1425" s="96"/>
    </row>
    <row r="1426" spans="3:8" x14ac:dyDescent="0.25">
      <c r="C1426" s="96"/>
      <c r="D1426" s="96"/>
      <c r="H1426" s="96"/>
    </row>
    <row r="1427" spans="3:8" x14ac:dyDescent="0.25">
      <c r="C1427" s="96"/>
      <c r="D1427" s="96"/>
      <c r="H1427" s="96"/>
    </row>
    <row r="1428" spans="3:8" x14ac:dyDescent="0.25">
      <c r="C1428" s="96"/>
      <c r="D1428" s="96"/>
      <c r="H1428" s="96"/>
    </row>
    <row r="1429" spans="3:8" x14ac:dyDescent="0.25">
      <c r="C1429" s="96"/>
      <c r="D1429" s="96"/>
      <c r="H1429" s="96"/>
    </row>
    <row r="1430" spans="3:8" x14ac:dyDescent="0.25">
      <c r="C1430" s="96"/>
      <c r="D1430" s="96"/>
      <c r="H1430" s="96"/>
    </row>
    <row r="1431" spans="3:8" x14ac:dyDescent="0.25">
      <c r="C1431" s="96"/>
      <c r="D1431" s="96"/>
      <c r="H1431" s="96"/>
    </row>
    <row r="1432" spans="3:8" x14ac:dyDescent="0.25">
      <c r="C1432" s="96"/>
      <c r="D1432" s="96"/>
      <c r="H1432" s="96"/>
    </row>
    <row r="1433" spans="3:8" x14ac:dyDescent="0.25">
      <c r="C1433" s="96"/>
      <c r="D1433" s="96"/>
      <c r="H1433" s="96"/>
    </row>
    <row r="1434" spans="3:8" x14ac:dyDescent="0.25">
      <c r="C1434" s="96"/>
      <c r="D1434" s="96"/>
      <c r="H1434" s="96"/>
    </row>
    <row r="1435" spans="3:8" x14ac:dyDescent="0.25">
      <c r="C1435" s="96"/>
      <c r="D1435" s="96"/>
      <c r="H1435" s="96"/>
    </row>
    <row r="1436" spans="3:8" x14ac:dyDescent="0.25">
      <c r="C1436" s="96"/>
      <c r="D1436" s="96"/>
      <c r="H1436" s="96"/>
    </row>
    <row r="1437" spans="3:8" x14ac:dyDescent="0.25">
      <c r="C1437" s="96"/>
      <c r="D1437" s="96"/>
      <c r="H1437" s="96"/>
    </row>
    <row r="1438" spans="3:8" x14ac:dyDescent="0.25">
      <c r="C1438" s="96"/>
      <c r="D1438" s="96"/>
      <c r="H1438" s="96"/>
    </row>
    <row r="1439" spans="3:8" x14ac:dyDescent="0.25">
      <c r="C1439" s="96"/>
      <c r="D1439" s="96"/>
      <c r="H1439" s="96"/>
    </row>
    <row r="1440" spans="3:8" x14ac:dyDescent="0.25">
      <c r="C1440" s="96"/>
      <c r="D1440" s="96"/>
      <c r="H1440" s="96"/>
    </row>
    <row r="1441" spans="3:8" x14ac:dyDescent="0.25">
      <c r="C1441" s="96"/>
      <c r="D1441" s="96"/>
      <c r="H1441" s="96"/>
    </row>
    <row r="1442" spans="3:8" x14ac:dyDescent="0.25">
      <c r="C1442" s="96"/>
      <c r="D1442" s="96"/>
      <c r="H1442" s="96"/>
    </row>
    <row r="1443" spans="3:8" x14ac:dyDescent="0.25">
      <c r="C1443" s="96"/>
      <c r="D1443" s="96"/>
      <c r="H1443" s="96"/>
    </row>
    <row r="1444" spans="3:8" x14ac:dyDescent="0.25">
      <c r="C1444" s="96"/>
      <c r="D1444" s="96"/>
      <c r="H1444" s="96"/>
    </row>
    <row r="1445" spans="3:8" x14ac:dyDescent="0.25">
      <c r="C1445" s="96"/>
      <c r="D1445" s="96"/>
      <c r="H1445" s="96"/>
    </row>
    <row r="1446" spans="3:8" x14ac:dyDescent="0.25">
      <c r="C1446" s="96"/>
      <c r="D1446" s="96"/>
      <c r="H1446" s="96"/>
    </row>
    <row r="1447" spans="3:8" x14ac:dyDescent="0.25">
      <c r="C1447" s="96"/>
      <c r="D1447" s="96"/>
      <c r="H1447" s="96"/>
    </row>
    <row r="1448" spans="3:8" x14ac:dyDescent="0.25">
      <c r="C1448" s="96"/>
      <c r="D1448" s="96"/>
      <c r="H1448" s="96"/>
    </row>
    <row r="1449" spans="3:8" x14ac:dyDescent="0.25">
      <c r="C1449" s="96"/>
      <c r="D1449" s="96"/>
      <c r="H1449" s="96"/>
    </row>
    <row r="1450" spans="3:8" x14ac:dyDescent="0.25">
      <c r="C1450" s="96"/>
      <c r="D1450" s="96"/>
      <c r="H1450" s="96"/>
    </row>
    <row r="1451" spans="3:8" x14ac:dyDescent="0.25">
      <c r="C1451" s="96"/>
      <c r="D1451" s="96"/>
      <c r="H1451" s="96"/>
    </row>
    <row r="1452" spans="3:8" x14ac:dyDescent="0.25">
      <c r="C1452" s="96"/>
      <c r="D1452" s="96"/>
      <c r="H1452" s="96"/>
    </row>
    <row r="1453" spans="3:8" x14ac:dyDescent="0.25">
      <c r="C1453" s="96"/>
      <c r="D1453" s="96"/>
      <c r="H1453" s="96"/>
    </row>
    <row r="1454" spans="3:8" x14ac:dyDescent="0.25">
      <c r="C1454" s="96"/>
      <c r="D1454" s="96"/>
      <c r="H1454" s="96"/>
    </row>
    <row r="1455" spans="3:8" x14ac:dyDescent="0.25">
      <c r="C1455" s="96"/>
      <c r="D1455" s="96"/>
      <c r="H1455" s="96"/>
    </row>
    <row r="1456" spans="3:8" x14ac:dyDescent="0.25">
      <c r="C1456" s="96"/>
      <c r="D1456" s="96"/>
      <c r="H1456" s="96"/>
    </row>
    <row r="1457" spans="3:11" x14ac:dyDescent="0.25">
      <c r="C1457" s="96"/>
      <c r="D1457" s="96"/>
      <c r="H1457" s="96"/>
    </row>
    <row r="1458" spans="3:11" x14ac:dyDescent="0.25">
      <c r="C1458" s="135"/>
      <c r="D1458" s="135"/>
      <c r="E1458" s="135"/>
      <c r="F1458" s="114"/>
      <c r="G1458" s="114"/>
      <c r="H1458" s="135"/>
      <c r="I1458" s="114"/>
      <c r="J1458" s="114"/>
      <c r="K1458" s="114"/>
    </row>
    <row r="1459" spans="3:11" x14ac:dyDescent="0.25">
      <c r="C1459" s="96"/>
      <c r="D1459" s="96"/>
      <c r="H1459" s="96"/>
    </row>
    <row r="1460" spans="3:11" x14ac:dyDescent="0.25">
      <c r="C1460" s="96"/>
      <c r="D1460" s="96"/>
      <c r="H1460" s="96"/>
    </row>
    <row r="1461" spans="3:11" x14ac:dyDescent="0.25">
      <c r="C1461" s="96"/>
      <c r="D1461" s="96"/>
      <c r="H1461" s="96"/>
    </row>
    <row r="1462" spans="3:11" x14ac:dyDescent="0.25">
      <c r="C1462" s="96"/>
      <c r="D1462" s="96"/>
      <c r="H1462" s="96"/>
    </row>
    <row r="1463" spans="3:11" x14ac:dyDescent="0.25">
      <c r="C1463" s="96"/>
      <c r="D1463" s="96"/>
      <c r="H1463" s="96"/>
    </row>
    <row r="1464" spans="3:11" x14ac:dyDescent="0.25">
      <c r="C1464" s="96"/>
      <c r="D1464" s="96"/>
      <c r="H1464" s="96"/>
    </row>
    <row r="1465" spans="3:11" x14ac:dyDescent="0.25">
      <c r="C1465" s="96"/>
      <c r="D1465" s="96"/>
      <c r="H1465" s="96"/>
    </row>
    <row r="1466" spans="3:11" x14ac:dyDescent="0.25">
      <c r="C1466" s="96"/>
      <c r="D1466" s="96"/>
      <c r="H1466" s="96"/>
    </row>
    <row r="1467" spans="3:11" x14ac:dyDescent="0.25">
      <c r="C1467" s="96"/>
      <c r="D1467" s="96"/>
      <c r="H1467" s="96"/>
    </row>
    <row r="1468" spans="3:11" x14ac:dyDescent="0.25">
      <c r="C1468" s="96"/>
      <c r="D1468" s="96"/>
      <c r="H1468" s="96"/>
    </row>
    <row r="1469" spans="3:11" x14ac:dyDescent="0.25">
      <c r="C1469" s="96"/>
      <c r="D1469" s="96"/>
      <c r="H1469" s="96"/>
    </row>
    <row r="1470" spans="3:11" x14ac:dyDescent="0.25">
      <c r="C1470" s="96"/>
      <c r="D1470" s="96"/>
      <c r="H1470" s="96"/>
    </row>
    <row r="1471" spans="3:11" x14ac:dyDescent="0.25">
      <c r="C1471" s="96"/>
      <c r="D1471" s="96"/>
      <c r="H1471" s="96"/>
    </row>
    <row r="1472" spans="3:11" x14ac:dyDescent="0.25">
      <c r="C1472" s="96"/>
      <c r="D1472" s="96"/>
      <c r="H1472" s="96"/>
    </row>
    <row r="1473" spans="3:8" x14ac:dyDescent="0.25">
      <c r="C1473" s="96"/>
      <c r="D1473" s="96"/>
      <c r="H1473" s="96"/>
    </row>
    <row r="1474" spans="3:8" x14ac:dyDescent="0.25">
      <c r="C1474" s="96"/>
      <c r="D1474" s="96"/>
      <c r="H1474" s="96"/>
    </row>
    <row r="1475" spans="3:8" x14ac:dyDescent="0.25">
      <c r="C1475" s="96"/>
      <c r="D1475" s="96"/>
      <c r="H1475" s="96"/>
    </row>
    <row r="1476" spans="3:8" x14ac:dyDescent="0.25">
      <c r="C1476" s="96"/>
      <c r="D1476" s="96"/>
      <c r="H1476" s="96"/>
    </row>
    <row r="1477" spans="3:8" x14ac:dyDescent="0.25">
      <c r="C1477" s="96"/>
      <c r="D1477" s="96"/>
      <c r="H1477" s="96"/>
    </row>
    <row r="1478" spans="3:8" x14ac:dyDescent="0.25">
      <c r="C1478" s="96"/>
      <c r="D1478" s="96"/>
      <c r="H1478" s="96"/>
    </row>
    <row r="1479" spans="3:8" x14ac:dyDescent="0.25">
      <c r="C1479" s="96"/>
      <c r="D1479" s="96"/>
      <c r="H1479" s="96"/>
    </row>
    <row r="1480" spans="3:8" x14ac:dyDescent="0.25">
      <c r="C1480" s="96"/>
      <c r="D1480" s="96"/>
      <c r="H1480" s="96"/>
    </row>
    <row r="1481" spans="3:8" x14ac:dyDescent="0.25">
      <c r="C1481" s="96"/>
      <c r="D1481" s="96"/>
      <c r="H1481" s="96"/>
    </row>
    <row r="1482" spans="3:8" x14ac:dyDescent="0.25">
      <c r="C1482" s="96"/>
      <c r="D1482" s="96"/>
      <c r="H1482" s="96"/>
    </row>
    <row r="1483" spans="3:8" x14ac:dyDescent="0.25">
      <c r="C1483" s="96"/>
      <c r="D1483" s="96"/>
      <c r="H1483" s="96"/>
    </row>
    <row r="1484" spans="3:8" x14ac:dyDescent="0.25">
      <c r="C1484" s="96"/>
      <c r="D1484" s="96"/>
      <c r="H1484" s="96"/>
    </row>
    <row r="1485" spans="3:8" x14ac:dyDescent="0.25">
      <c r="C1485" s="96"/>
      <c r="D1485" s="96"/>
      <c r="H1485" s="96"/>
    </row>
    <row r="1486" spans="3:8" x14ac:dyDescent="0.25">
      <c r="C1486" s="96"/>
      <c r="D1486" s="96"/>
      <c r="H1486" s="96"/>
    </row>
    <row r="1487" spans="3:8" x14ac:dyDescent="0.25">
      <c r="C1487" s="96"/>
      <c r="D1487" s="96"/>
      <c r="H1487" s="96"/>
    </row>
    <row r="1488" spans="3:8" x14ac:dyDescent="0.25">
      <c r="C1488" s="96"/>
      <c r="D1488" s="96"/>
      <c r="H1488" s="96"/>
    </row>
    <row r="1489" spans="3:8" x14ac:dyDescent="0.25">
      <c r="C1489" s="96"/>
      <c r="D1489" s="96"/>
      <c r="H1489" s="96"/>
    </row>
    <row r="1490" spans="3:8" x14ac:dyDescent="0.25">
      <c r="C1490" s="96"/>
      <c r="D1490" s="96"/>
      <c r="H1490" s="96"/>
    </row>
    <row r="1491" spans="3:8" x14ac:dyDescent="0.25">
      <c r="C1491" s="96"/>
      <c r="D1491" s="96"/>
      <c r="H1491" s="96"/>
    </row>
    <row r="1492" spans="3:8" x14ac:dyDescent="0.25">
      <c r="C1492" s="96"/>
      <c r="D1492" s="96"/>
      <c r="H1492" s="96"/>
    </row>
    <row r="1493" spans="3:8" x14ac:dyDescent="0.25">
      <c r="C1493" s="96"/>
      <c r="D1493" s="96"/>
      <c r="H1493" s="96"/>
    </row>
    <row r="1494" spans="3:8" x14ac:dyDescent="0.25">
      <c r="C1494" s="96"/>
      <c r="D1494" s="96"/>
      <c r="H1494" s="96"/>
    </row>
    <row r="1495" spans="3:8" x14ac:dyDescent="0.25">
      <c r="C1495" s="96"/>
      <c r="D1495" s="96"/>
      <c r="H1495" s="96"/>
    </row>
    <row r="1496" spans="3:8" x14ac:dyDescent="0.25">
      <c r="C1496" s="96"/>
      <c r="D1496" s="96"/>
      <c r="H1496" s="96"/>
    </row>
    <row r="1497" spans="3:8" x14ac:dyDescent="0.25">
      <c r="C1497" s="96"/>
      <c r="D1497" s="96"/>
      <c r="H1497" s="96"/>
    </row>
    <row r="1498" spans="3:8" x14ac:dyDescent="0.25">
      <c r="C1498" s="96"/>
      <c r="D1498" s="96"/>
      <c r="H1498" s="96"/>
    </row>
    <row r="1499" spans="3:8" x14ac:dyDescent="0.25">
      <c r="C1499" s="96"/>
      <c r="D1499" s="96"/>
      <c r="H1499" s="96"/>
    </row>
    <row r="1500" spans="3:8" x14ac:dyDescent="0.25">
      <c r="C1500" s="96"/>
      <c r="D1500" s="96"/>
      <c r="H1500" s="96"/>
    </row>
    <row r="1501" spans="3:8" x14ac:dyDescent="0.25">
      <c r="C1501" s="96"/>
      <c r="D1501" s="96"/>
      <c r="H1501" s="96"/>
    </row>
    <row r="1502" spans="3:8" x14ac:dyDescent="0.25">
      <c r="C1502" s="96"/>
      <c r="D1502" s="96"/>
      <c r="H1502" s="96"/>
    </row>
    <row r="1503" spans="3:8" x14ac:dyDescent="0.25">
      <c r="C1503" s="96"/>
      <c r="D1503" s="96"/>
      <c r="H1503" s="96"/>
    </row>
    <row r="1504" spans="3:8" x14ac:dyDescent="0.25">
      <c r="C1504" s="96"/>
      <c r="D1504" s="96"/>
      <c r="H1504" s="96"/>
    </row>
    <row r="1505" spans="3:11" x14ac:dyDescent="0.25">
      <c r="C1505" s="96"/>
      <c r="D1505" s="96"/>
      <c r="H1505" s="96"/>
    </row>
    <row r="1506" spans="3:11" x14ac:dyDescent="0.25">
      <c r="C1506" s="96"/>
      <c r="D1506" s="96"/>
      <c r="H1506" s="96"/>
    </row>
    <row r="1507" spans="3:11" x14ac:dyDescent="0.25">
      <c r="C1507" s="96"/>
      <c r="D1507" s="96"/>
      <c r="H1507" s="96"/>
    </row>
    <row r="1508" spans="3:11" x14ac:dyDescent="0.25">
      <c r="C1508" s="96"/>
      <c r="D1508" s="96"/>
      <c r="H1508" s="96"/>
    </row>
    <row r="1509" spans="3:11" x14ac:dyDescent="0.25">
      <c r="C1509" s="96"/>
      <c r="D1509" s="96"/>
      <c r="H1509" s="96"/>
    </row>
    <row r="1510" spans="3:11" x14ac:dyDescent="0.25">
      <c r="C1510" s="96"/>
      <c r="D1510" s="96"/>
      <c r="H1510" s="96"/>
    </row>
    <row r="1511" spans="3:11" x14ac:dyDescent="0.25">
      <c r="C1511" s="96"/>
      <c r="D1511" s="96"/>
      <c r="H1511" s="96"/>
    </row>
    <row r="1512" spans="3:11" x14ac:dyDescent="0.25">
      <c r="C1512" s="96"/>
      <c r="D1512" s="96"/>
      <c r="H1512" s="96"/>
    </row>
    <row r="1513" spans="3:11" x14ac:dyDescent="0.25">
      <c r="C1513" s="96"/>
      <c r="D1513" s="96"/>
      <c r="H1513" s="96"/>
    </row>
    <row r="1514" spans="3:11" x14ac:dyDescent="0.25">
      <c r="C1514" s="96"/>
      <c r="D1514" s="96"/>
      <c r="H1514" s="96"/>
    </row>
    <row r="1515" spans="3:11" x14ac:dyDescent="0.25">
      <c r="C1515" s="96"/>
      <c r="D1515" s="96"/>
      <c r="H1515" s="96"/>
    </row>
    <row r="1516" spans="3:11" x14ac:dyDescent="0.25">
      <c r="C1516" s="96"/>
      <c r="D1516" s="96"/>
      <c r="H1516" s="96"/>
    </row>
    <row r="1517" spans="3:11" x14ac:dyDescent="0.25">
      <c r="C1517" s="135"/>
      <c r="D1517" s="135"/>
      <c r="E1517" s="135"/>
      <c r="F1517" s="114"/>
      <c r="G1517" s="114"/>
      <c r="H1517" s="135"/>
      <c r="I1517" s="114"/>
      <c r="J1517" s="114"/>
      <c r="K1517" s="114"/>
    </row>
    <row r="1518" spans="3:11" x14ac:dyDescent="0.25">
      <c r="C1518" s="96"/>
      <c r="D1518" s="96"/>
      <c r="H1518" s="96"/>
    </row>
    <row r="1519" spans="3:11" x14ac:dyDescent="0.25">
      <c r="C1519" s="96"/>
      <c r="D1519" s="96"/>
      <c r="H1519" s="96"/>
    </row>
    <row r="1520" spans="3:11" x14ac:dyDescent="0.25">
      <c r="C1520" s="96"/>
      <c r="D1520" s="96"/>
      <c r="H1520" s="96"/>
    </row>
    <row r="1521" spans="3:8" x14ac:dyDescent="0.25">
      <c r="C1521" s="96"/>
      <c r="D1521" s="96"/>
      <c r="H1521" s="96"/>
    </row>
    <row r="1522" spans="3:8" x14ac:dyDescent="0.25">
      <c r="C1522" s="96"/>
      <c r="D1522" s="96"/>
      <c r="H1522" s="96"/>
    </row>
    <row r="1523" spans="3:8" x14ac:dyDescent="0.25">
      <c r="C1523" s="96"/>
      <c r="D1523" s="96"/>
      <c r="H1523" s="96"/>
    </row>
    <row r="1524" spans="3:8" x14ac:dyDescent="0.25">
      <c r="C1524" s="96"/>
      <c r="D1524" s="96"/>
      <c r="H1524" s="96"/>
    </row>
    <row r="1525" spans="3:8" x14ac:dyDescent="0.25">
      <c r="C1525" s="96"/>
      <c r="D1525" s="96"/>
      <c r="H1525" s="96"/>
    </row>
    <row r="1526" spans="3:8" x14ac:dyDescent="0.25">
      <c r="C1526" s="96"/>
      <c r="D1526" s="96"/>
      <c r="H1526" s="96"/>
    </row>
    <row r="1527" spans="3:8" x14ac:dyDescent="0.25">
      <c r="C1527" s="96"/>
      <c r="D1527" s="96"/>
      <c r="H1527" s="96"/>
    </row>
    <row r="1528" spans="3:8" x14ac:dyDescent="0.25">
      <c r="C1528" s="96"/>
      <c r="D1528" s="96"/>
      <c r="H1528" s="96"/>
    </row>
    <row r="1529" spans="3:8" x14ac:dyDescent="0.25">
      <c r="C1529" s="96"/>
      <c r="D1529" s="96"/>
      <c r="H1529" s="96"/>
    </row>
    <row r="1530" spans="3:8" x14ac:dyDescent="0.25">
      <c r="C1530" s="96"/>
      <c r="D1530" s="96"/>
      <c r="H1530" s="96"/>
    </row>
    <row r="1531" spans="3:8" x14ac:dyDescent="0.25">
      <c r="C1531" s="96"/>
      <c r="D1531" s="96"/>
      <c r="H1531" s="96"/>
    </row>
    <row r="1532" spans="3:8" x14ac:dyDescent="0.25">
      <c r="C1532" s="96"/>
      <c r="D1532" s="96"/>
      <c r="H1532" s="96"/>
    </row>
    <row r="1533" spans="3:8" x14ac:dyDescent="0.25">
      <c r="C1533" s="96"/>
      <c r="D1533" s="96"/>
      <c r="H1533" s="96"/>
    </row>
    <row r="1534" spans="3:8" x14ac:dyDescent="0.25">
      <c r="C1534" s="96"/>
      <c r="D1534" s="96"/>
      <c r="H1534" s="96"/>
    </row>
    <row r="1535" spans="3:8" x14ac:dyDescent="0.25">
      <c r="C1535" s="96"/>
      <c r="D1535" s="96"/>
      <c r="H1535" s="96"/>
    </row>
    <row r="1536" spans="3:8" x14ac:dyDescent="0.25">
      <c r="C1536" s="96"/>
      <c r="D1536" s="96"/>
      <c r="H1536" s="96"/>
    </row>
    <row r="1537" spans="3:11" x14ac:dyDescent="0.25">
      <c r="C1537" s="96"/>
      <c r="D1537" s="96"/>
      <c r="H1537" s="96"/>
    </row>
    <row r="1538" spans="3:11" x14ac:dyDescent="0.25">
      <c r="C1538" s="96"/>
      <c r="D1538" s="96"/>
      <c r="H1538" s="96"/>
    </row>
    <row r="1539" spans="3:11" x14ac:dyDescent="0.25">
      <c r="C1539" s="96"/>
      <c r="D1539" s="96"/>
      <c r="H1539" s="96"/>
    </row>
    <row r="1540" spans="3:11" x14ac:dyDescent="0.25">
      <c r="C1540" s="96"/>
      <c r="D1540" s="96"/>
      <c r="H1540" s="96"/>
    </row>
    <row r="1541" spans="3:11" x14ac:dyDescent="0.25">
      <c r="C1541" s="96"/>
      <c r="D1541" s="96"/>
      <c r="H1541" s="96"/>
    </row>
    <row r="1542" spans="3:11" x14ac:dyDescent="0.25">
      <c r="C1542" s="96"/>
      <c r="D1542" s="96"/>
      <c r="H1542" s="96"/>
    </row>
    <row r="1543" spans="3:11" x14ac:dyDescent="0.25">
      <c r="C1543" s="96"/>
      <c r="D1543" s="96"/>
      <c r="H1543" s="96"/>
    </row>
    <row r="1544" spans="3:11" x14ac:dyDescent="0.25">
      <c r="C1544" s="96"/>
      <c r="D1544" s="96"/>
      <c r="H1544" s="96"/>
    </row>
    <row r="1545" spans="3:11" x14ac:dyDescent="0.25">
      <c r="C1545" s="96"/>
      <c r="D1545" s="96"/>
      <c r="H1545" s="96"/>
    </row>
    <row r="1546" spans="3:11" x14ac:dyDescent="0.25">
      <c r="C1546" s="136"/>
      <c r="D1546" s="136"/>
      <c r="E1546" s="137"/>
      <c r="F1546" s="136"/>
      <c r="G1546" s="136"/>
      <c r="H1546" s="136"/>
      <c r="I1546" s="138"/>
      <c r="J1546" s="138"/>
      <c r="K1546" s="138"/>
    </row>
    <row r="1547" spans="3:11" x14ac:dyDescent="0.25">
      <c r="C1547" s="136"/>
      <c r="D1547" s="136"/>
      <c r="E1547" s="137"/>
      <c r="F1547" s="139"/>
      <c r="G1547" s="139"/>
      <c r="H1547" s="35"/>
      <c r="I1547" s="94"/>
      <c r="J1547" s="94"/>
      <c r="K1547" s="94"/>
    </row>
    <row r="1548" spans="3:11" x14ac:dyDescent="0.25">
      <c r="C1548" s="136"/>
      <c r="D1548" s="136"/>
      <c r="E1548" s="137"/>
      <c r="F1548" s="139"/>
      <c r="G1548" s="139"/>
      <c r="H1548" s="35"/>
      <c r="I1548" s="94"/>
      <c r="J1548" s="94"/>
      <c r="K1548" s="94"/>
    </row>
    <row r="1549" spans="3:11" x14ac:dyDescent="0.25">
      <c r="C1549" s="136"/>
      <c r="D1549" s="136"/>
      <c r="E1549" s="137"/>
      <c r="F1549" s="139"/>
      <c r="G1549" s="139"/>
      <c r="H1549" s="35"/>
      <c r="I1549" s="94"/>
      <c r="J1549" s="94"/>
      <c r="K1549" s="94"/>
    </row>
    <row r="1550" spans="3:11" x14ac:dyDescent="0.25">
      <c r="C1550" s="136"/>
      <c r="D1550" s="136"/>
      <c r="E1550" s="137"/>
      <c r="F1550" s="139"/>
      <c r="G1550" s="139"/>
      <c r="H1550" s="136"/>
      <c r="I1550" s="138"/>
      <c r="J1550" s="138"/>
      <c r="K1550" s="138"/>
    </row>
    <row r="1551" spans="3:11" x14ac:dyDescent="0.25">
      <c r="C1551" s="136"/>
      <c r="D1551" s="136"/>
      <c r="E1551" s="137"/>
      <c r="F1551" s="139"/>
      <c r="G1551" s="139"/>
      <c r="H1551" s="136"/>
      <c r="I1551" s="138"/>
      <c r="J1551" s="138"/>
      <c r="K1551" s="138"/>
    </row>
    <row r="1552" spans="3:11" x14ac:dyDescent="0.25">
      <c r="C1552" s="136"/>
      <c r="D1552" s="136"/>
      <c r="E1552" s="137"/>
      <c r="F1552" s="139"/>
      <c r="G1552" s="139"/>
      <c r="H1552" s="136"/>
      <c r="I1552" s="138"/>
      <c r="J1552" s="138"/>
      <c r="K1552" s="138"/>
    </row>
    <row r="1553" spans="3:11" x14ac:dyDescent="0.25">
      <c r="C1553" s="136"/>
      <c r="D1553" s="136"/>
      <c r="E1553" s="137"/>
      <c r="F1553" s="139"/>
      <c r="G1553" s="139"/>
      <c r="H1553" s="136"/>
      <c r="I1553" s="138"/>
      <c r="J1553" s="138"/>
      <c r="K1553" s="138"/>
    </row>
    <row r="1554" spans="3:11" x14ac:dyDescent="0.25">
      <c r="C1554" s="136"/>
      <c r="D1554" s="136"/>
      <c r="E1554" s="137"/>
      <c r="F1554" s="139"/>
      <c r="G1554" s="139"/>
      <c r="H1554" s="136"/>
      <c r="I1554" s="138"/>
      <c r="J1554" s="138"/>
      <c r="K1554" s="138"/>
    </row>
    <row r="1555" spans="3:11" x14ac:dyDescent="0.25">
      <c r="C1555" s="136"/>
      <c r="D1555" s="136"/>
      <c r="E1555" s="137"/>
      <c r="F1555" s="139"/>
      <c r="G1555" s="139"/>
      <c r="H1555" s="136"/>
      <c r="I1555" s="138"/>
      <c r="J1555" s="138"/>
      <c r="K1555" s="138"/>
    </row>
    <row r="1556" spans="3:11" x14ac:dyDescent="0.25">
      <c r="C1556" s="136"/>
      <c r="D1556" s="136"/>
      <c r="E1556" s="137"/>
      <c r="F1556" s="139"/>
      <c r="G1556" s="139"/>
      <c r="H1556" s="136"/>
      <c r="I1556" s="138"/>
      <c r="J1556" s="138"/>
      <c r="K1556" s="138"/>
    </row>
    <row r="1557" spans="3:11" x14ac:dyDescent="0.25">
      <c r="C1557" s="136"/>
      <c r="D1557" s="136"/>
      <c r="E1557" s="137"/>
      <c r="F1557" s="139"/>
      <c r="G1557" s="139"/>
      <c r="H1557" s="136"/>
      <c r="I1557" s="138"/>
      <c r="J1557" s="138"/>
      <c r="K1557" s="138"/>
    </row>
    <row r="1558" spans="3:11" x14ac:dyDescent="0.25">
      <c r="C1558" s="136"/>
      <c r="D1558" s="136"/>
      <c r="E1558" s="137"/>
      <c r="F1558" s="139"/>
      <c r="G1558" s="139"/>
      <c r="H1558" s="136"/>
      <c r="I1558" s="138"/>
      <c r="J1558" s="138"/>
      <c r="K1558" s="138"/>
    </row>
    <row r="1559" spans="3:11" x14ac:dyDescent="0.25">
      <c r="C1559" s="140"/>
      <c r="D1559" s="136"/>
      <c r="E1559" s="137"/>
      <c r="F1559" s="139"/>
      <c r="G1559" s="139"/>
      <c r="H1559" s="136"/>
      <c r="I1559" s="138"/>
      <c r="J1559" s="138"/>
      <c r="K1559" s="138"/>
    </row>
    <row r="1560" spans="3:11" x14ac:dyDescent="0.25">
      <c r="C1560" s="140"/>
      <c r="D1560" s="136"/>
      <c r="E1560" s="137"/>
      <c r="F1560" s="139"/>
      <c r="G1560" s="139"/>
      <c r="H1560" s="136"/>
      <c r="I1560" s="138"/>
      <c r="J1560" s="138"/>
      <c r="K1560" s="138"/>
    </row>
    <row r="1561" spans="3:11" x14ac:dyDescent="0.25">
      <c r="C1561" s="140"/>
      <c r="D1561" s="136"/>
      <c r="E1561" s="137"/>
      <c r="F1561" s="139"/>
      <c r="G1561" s="139"/>
      <c r="H1561" s="136"/>
      <c r="I1561" s="138"/>
      <c r="J1561" s="138"/>
      <c r="K1561" s="138"/>
    </row>
    <row r="1562" spans="3:11" x14ac:dyDescent="0.25">
      <c r="C1562" s="140"/>
      <c r="D1562" s="136"/>
      <c r="E1562" s="137"/>
      <c r="F1562" s="139"/>
      <c r="G1562" s="139"/>
      <c r="H1562" s="136"/>
      <c r="I1562" s="138"/>
      <c r="J1562" s="138"/>
      <c r="K1562" s="138"/>
    </row>
    <row r="1563" spans="3:11" x14ac:dyDescent="0.25">
      <c r="C1563" s="140"/>
      <c r="D1563" s="136"/>
      <c r="E1563" s="137"/>
      <c r="F1563" s="139"/>
      <c r="G1563" s="139"/>
      <c r="H1563" s="136"/>
      <c r="I1563" s="138"/>
      <c r="J1563" s="138"/>
      <c r="K1563" s="138"/>
    </row>
    <row r="1564" spans="3:11" x14ac:dyDescent="0.25">
      <c r="C1564" s="140"/>
      <c r="D1564" s="136"/>
      <c r="E1564" s="137"/>
      <c r="F1564" s="139"/>
      <c r="G1564" s="139"/>
      <c r="H1564" s="136"/>
      <c r="I1564" s="138"/>
      <c r="J1564" s="138"/>
      <c r="K1564" s="138"/>
    </row>
    <row r="1565" spans="3:11" x14ac:dyDescent="0.25">
      <c r="C1565" s="140"/>
      <c r="D1565" s="136"/>
      <c r="E1565" s="137"/>
      <c r="F1565" s="139"/>
      <c r="G1565" s="139"/>
      <c r="H1565" s="136"/>
      <c r="I1565" s="138"/>
      <c r="J1565" s="138"/>
      <c r="K1565" s="138"/>
    </row>
    <row r="1566" spans="3:11" x14ac:dyDescent="0.25">
      <c r="C1566" s="140"/>
      <c r="D1566" s="136"/>
      <c r="E1566" s="137"/>
      <c r="F1566" s="139"/>
      <c r="G1566" s="139"/>
      <c r="H1566" s="136"/>
      <c r="I1566" s="138"/>
      <c r="J1566" s="138"/>
      <c r="K1566" s="138"/>
    </row>
    <row r="1567" spans="3:11" x14ac:dyDescent="0.25">
      <c r="C1567" s="140"/>
      <c r="D1567" s="136"/>
      <c r="E1567" s="137"/>
      <c r="F1567" s="139"/>
      <c r="G1567" s="139"/>
      <c r="H1567" s="136"/>
      <c r="I1567" s="138"/>
      <c r="J1567" s="138"/>
      <c r="K1567" s="138"/>
    </row>
    <row r="1568" spans="3:11" x14ac:dyDescent="0.25">
      <c r="C1568" s="140"/>
      <c r="D1568" s="136"/>
      <c r="E1568" s="137"/>
      <c r="F1568" s="139"/>
      <c r="G1568" s="139"/>
      <c r="H1568" s="136"/>
      <c r="I1568" s="138"/>
      <c r="J1568" s="138"/>
      <c r="K1568" s="138"/>
    </row>
    <row r="1569" spans="3:11" x14ac:dyDescent="0.25">
      <c r="C1569" s="140"/>
      <c r="D1569" s="136"/>
      <c r="E1569" s="137"/>
      <c r="F1569" s="139"/>
      <c r="G1569" s="139"/>
      <c r="H1569" s="136"/>
      <c r="I1569" s="138"/>
      <c r="J1569" s="138"/>
      <c r="K1569" s="138"/>
    </row>
    <row r="1570" spans="3:11" x14ac:dyDescent="0.25">
      <c r="C1570" s="140"/>
      <c r="D1570" s="136"/>
      <c r="E1570" s="137"/>
      <c r="F1570" s="139"/>
      <c r="G1570" s="139"/>
      <c r="H1570" s="136"/>
      <c r="I1570" s="138"/>
      <c r="J1570" s="138"/>
      <c r="K1570" s="138"/>
    </row>
    <row r="1571" spans="3:11" x14ac:dyDescent="0.25">
      <c r="C1571" s="140"/>
      <c r="D1571" s="136"/>
      <c r="E1571" s="137"/>
      <c r="F1571" s="139"/>
      <c r="G1571" s="139"/>
      <c r="H1571" s="136"/>
      <c r="I1571" s="138"/>
      <c r="J1571" s="138"/>
      <c r="K1571" s="138"/>
    </row>
    <row r="1572" spans="3:11" x14ac:dyDescent="0.25">
      <c r="C1572" s="140"/>
      <c r="D1572" s="136"/>
      <c r="E1572" s="137"/>
      <c r="F1572" s="139"/>
      <c r="G1572" s="139"/>
      <c r="H1572" s="136"/>
      <c r="I1572" s="138"/>
      <c r="J1572" s="138"/>
      <c r="K1572" s="138"/>
    </row>
    <row r="1573" spans="3:11" x14ac:dyDescent="0.25">
      <c r="C1573" s="140"/>
      <c r="D1573" s="136"/>
      <c r="E1573" s="137"/>
      <c r="F1573" s="139"/>
      <c r="G1573" s="139"/>
      <c r="H1573" s="136"/>
      <c r="I1573" s="138"/>
      <c r="J1573" s="138"/>
      <c r="K1573" s="138"/>
    </row>
    <row r="1574" spans="3:11" x14ac:dyDescent="0.25">
      <c r="C1574" s="136"/>
      <c r="D1574" s="136"/>
      <c r="E1574" s="137"/>
      <c r="F1574" s="139"/>
      <c r="G1574" s="139"/>
      <c r="H1574" s="136"/>
      <c r="I1574" s="138"/>
      <c r="J1574" s="138"/>
      <c r="K1574" s="138"/>
    </row>
    <row r="1575" spans="3:11" x14ac:dyDescent="0.25">
      <c r="C1575" s="136"/>
      <c r="D1575" s="136"/>
      <c r="E1575" s="137"/>
      <c r="F1575" s="139"/>
      <c r="G1575" s="139"/>
      <c r="H1575" s="136"/>
      <c r="I1575" s="138"/>
      <c r="J1575" s="138"/>
      <c r="K1575" s="138"/>
    </row>
    <row r="1576" spans="3:11" x14ac:dyDescent="0.25">
      <c r="C1576" s="136"/>
      <c r="D1576" s="136"/>
      <c r="E1576" s="137"/>
      <c r="F1576" s="139"/>
      <c r="G1576" s="139"/>
      <c r="H1576" s="136"/>
      <c r="I1576" s="138"/>
      <c r="J1576" s="138"/>
      <c r="K1576" s="138"/>
    </row>
    <row r="1577" spans="3:11" x14ac:dyDescent="0.25">
      <c r="C1577" s="136"/>
      <c r="D1577" s="136"/>
      <c r="E1577" s="137"/>
      <c r="F1577" s="139"/>
      <c r="G1577" s="139"/>
      <c r="H1577" s="136"/>
      <c r="I1577" s="138"/>
      <c r="J1577" s="138"/>
      <c r="K1577" s="138"/>
    </row>
    <row r="1578" spans="3:11" x14ac:dyDescent="0.25">
      <c r="C1578" s="136"/>
      <c r="D1578" s="136"/>
      <c r="E1578" s="137"/>
      <c r="F1578" s="139"/>
      <c r="G1578" s="139"/>
      <c r="H1578" s="136"/>
      <c r="I1578" s="138"/>
      <c r="J1578" s="138"/>
      <c r="K1578" s="138"/>
    </row>
    <row r="1579" spans="3:11" x14ac:dyDescent="0.25">
      <c r="C1579" s="136"/>
      <c r="D1579" s="136"/>
      <c r="E1579" s="137"/>
      <c r="F1579" s="139"/>
      <c r="G1579" s="139"/>
      <c r="H1579" s="136"/>
      <c r="I1579" s="138"/>
      <c r="J1579" s="138"/>
      <c r="K1579" s="138"/>
    </row>
    <row r="1580" spans="3:11" x14ac:dyDescent="0.25">
      <c r="C1580" s="136"/>
      <c r="D1580" s="136"/>
      <c r="E1580" s="137"/>
      <c r="F1580" s="139"/>
      <c r="G1580" s="139"/>
      <c r="H1580" s="136"/>
      <c r="I1580" s="138"/>
      <c r="J1580" s="138"/>
      <c r="K1580" s="138"/>
    </row>
    <row r="1581" spans="3:11" x14ac:dyDescent="0.25">
      <c r="C1581" s="136"/>
      <c r="D1581" s="139"/>
      <c r="E1581" s="137"/>
      <c r="F1581" s="139"/>
      <c r="G1581" s="139"/>
      <c r="H1581" s="136"/>
      <c r="I1581" s="138"/>
      <c r="J1581" s="138"/>
      <c r="K1581" s="138"/>
    </row>
    <row r="1582" spans="3:11" x14ac:dyDescent="0.25">
      <c r="C1582" s="136"/>
      <c r="D1582" s="139"/>
      <c r="E1582" s="137"/>
      <c r="F1582" s="139"/>
      <c r="G1582" s="139"/>
      <c r="H1582" s="136"/>
      <c r="I1582" s="138"/>
      <c r="J1582" s="138"/>
      <c r="K1582" s="138"/>
    </row>
    <row r="1583" spans="3:11" x14ac:dyDescent="0.25">
      <c r="C1583" s="136"/>
      <c r="D1583" s="139"/>
      <c r="E1583" s="137"/>
      <c r="F1583" s="139"/>
      <c r="G1583" s="139"/>
      <c r="H1583" s="136"/>
      <c r="I1583" s="138"/>
      <c r="J1583" s="138"/>
      <c r="K1583" s="138"/>
    </row>
    <row r="1584" spans="3:11" x14ac:dyDescent="0.25">
      <c r="C1584" s="136"/>
      <c r="D1584" s="139"/>
      <c r="E1584" s="137"/>
      <c r="F1584" s="139"/>
      <c r="G1584" s="139"/>
      <c r="H1584" s="136"/>
      <c r="I1584" s="138"/>
      <c r="J1584" s="138"/>
      <c r="K1584" s="138"/>
    </row>
    <row r="1585" spans="3:11" x14ac:dyDescent="0.25">
      <c r="C1585" s="136"/>
      <c r="D1585" s="136"/>
      <c r="E1585" s="137"/>
      <c r="F1585" s="139"/>
      <c r="G1585" s="139"/>
      <c r="H1585" s="136"/>
      <c r="I1585" s="138"/>
      <c r="J1585" s="138"/>
      <c r="K1585" s="138"/>
    </row>
    <row r="1586" spans="3:11" x14ac:dyDescent="0.25">
      <c r="C1586" s="136"/>
      <c r="D1586" s="136"/>
      <c r="E1586" s="137"/>
      <c r="F1586" s="139"/>
      <c r="G1586" s="139"/>
      <c r="H1586" s="136"/>
      <c r="I1586" s="138"/>
      <c r="J1586" s="138"/>
      <c r="K1586" s="138"/>
    </row>
    <row r="1587" spans="3:11" x14ac:dyDescent="0.25">
      <c r="C1587" s="136"/>
      <c r="D1587" s="136"/>
      <c r="E1587" s="137"/>
      <c r="F1587" s="139"/>
      <c r="G1587" s="139"/>
      <c r="H1587" s="136"/>
      <c r="I1587" s="138"/>
      <c r="J1587" s="138"/>
      <c r="K1587" s="138"/>
    </row>
    <row r="1588" spans="3:11" x14ac:dyDescent="0.25">
      <c r="C1588" s="136"/>
      <c r="D1588" s="136"/>
      <c r="E1588" s="137"/>
      <c r="F1588" s="139"/>
      <c r="G1588" s="139"/>
      <c r="H1588" s="136"/>
      <c r="I1588" s="138"/>
      <c r="J1588" s="138"/>
      <c r="K1588" s="138"/>
    </row>
    <row r="1589" spans="3:11" x14ac:dyDescent="0.25">
      <c r="C1589" s="136"/>
      <c r="D1589" s="136"/>
      <c r="E1589" s="137"/>
      <c r="F1589" s="139"/>
      <c r="G1589" s="139"/>
      <c r="H1589" s="136"/>
      <c r="I1589" s="138"/>
      <c r="J1589" s="138"/>
      <c r="K1589" s="138"/>
    </row>
    <row r="1590" spans="3:11" x14ac:dyDescent="0.25">
      <c r="C1590" s="136"/>
      <c r="D1590" s="136"/>
      <c r="E1590" s="137"/>
      <c r="F1590" s="139"/>
      <c r="G1590" s="139"/>
      <c r="H1590" s="136"/>
      <c r="I1590" s="138"/>
      <c r="J1590" s="138"/>
      <c r="K1590" s="138"/>
    </row>
    <row r="1591" spans="3:11" x14ac:dyDescent="0.25">
      <c r="C1591" s="136"/>
      <c r="D1591" s="136"/>
      <c r="E1591" s="137"/>
      <c r="F1591" s="139"/>
      <c r="G1591" s="139"/>
      <c r="H1591" s="136"/>
      <c r="I1591" s="138"/>
      <c r="J1591" s="138"/>
      <c r="K1591" s="138"/>
    </row>
    <row r="1592" spans="3:11" x14ac:dyDescent="0.25">
      <c r="C1592" s="136"/>
      <c r="D1592" s="139"/>
      <c r="E1592" s="137"/>
      <c r="F1592" s="139"/>
      <c r="G1592" s="139"/>
      <c r="H1592" s="136"/>
      <c r="I1592" s="138"/>
      <c r="J1592" s="138"/>
      <c r="K1592" s="138"/>
    </row>
    <row r="1593" spans="3:11" x14ac:dyDescent="0.25">
      <c r="C1593" s="136"/>
      <c r="D1593" s="139"/>
      <c r="E1593" s="137"/>
      <c r="F1593" s="139"/>
      <c r="G1593" s="139"/>
      <c r="H1593" s="136"/>
      <c r="I1593" s="138"/>
      <c r="J1593" s="138"/>
      <c r="K1593" s="138"/>
    </row>
    <row r="1594" spans="3:11" x14ac:dyDescent="0.25">
      <c r="C1594" s="136"/>
      <c r="D1594" s="139"/>
      <c r="E1594" s="137"/>
      <c r="F1594" s="139"/>
      <c r="G1594" s="139"/>
      <c r="H1594" s="136"/>
      <c r="I1594" s="138"/>
      <c r="J1594" s="138"/>
      <c r="K1594" s="138"/>
    </row>
    <row r="1595" spans="3:11" x14ac:dyDescent="0.25">
      <c r="C1595" s="136"/>
      <c r="D1595" s="139"/>
      <c r="E1595" s="137"/>
      <c r="F1595" s="139"/>
      <c r="G1595" s="139"/>
      <c r="H1595" s="136"/>
      <c r="I1595" s="138"/>
      <c r="J1595" s="138"/>
      <c r="K1595" s="138"/>
    </row>
    <row r="1596" spans="3:11" x14ac:dyDescent="0.25">
      <c r="C1596" s="136"/>
      <c r="D1596" s="139"/>
      <c r="E1596" s="137"/>
      <c r="F1596" s="139"/>
      <c r="G1596" s="139"/>
      <c r="H1596" s="136"/>
      <c r="I1596" s="138"/>
      <c r="J1596" s="138"/>
      <c r="K1596" s="138"/>
    </row>
    <row r="1597" spans="3:11" x14ac:dyDescent="0.25">
      <c r="C1597" s="136"/>
      <c r="D1597" s="139"/>
      <c r="E1597" s="137"/>
      <c r="F1597" s="139"/>
      <c r="G1597" s="139"/>
      <c r="H1597" s="136"/>
      <c r="I1597" s="138"/>
      <c r="J1597" s="138"/>
      <c r="K1597" s="138"/>
    </row>
    <row r="1598" spans="3:11" x14ac:dyDescent="0.25">
      <c r="C1598" s="136"/>
      <c r="D1598" s="139"/>
      <c r="E1598" s="137"/>
      <c r="F1598" s="139"/>
      <c r="G1598" s="139"/>
      <c r="H1598" s="136"/>
      <c r="I1598" s="138"/>
      <c r="J1598" s="138"/>
      <c r="K1598" s="138"/>
    </row>
    <row r="1599" spans="3:11" x14ac:dyDescent="0.25">
      <c r="C1599" s="136"/>
      <c r="D1599" s="139"/>
      <c r="E1599" s="137"/>
      <c r="F1599" s="139"/>
      <c r="G1599" s="139"/>
      <c r="H1599" s="136"/>
      <c r="I1599" s="138"/>
      <c r="J1599" s="138"/>
      <c r="K1599" s="138"/>
    </row>
    <row r="1600" spans="3:11" x14ac:dyDescent="0.25">
      <c r="C1600" s="136"/>
      <c r="D1600" s="139"/>
      <c r="E1600" s="137"/>
      <c r="F1600" s="139"/>
      <c r="G1600" s="139"/>
      <c r="H1600" s="136"/>
      <c r="I1600" s="138"/>
      <c r="J1600" s="138"/>
      <c r="K1600" s="138"/>
    </row>
    <row r="1601" spans="3:11" x14ac:dyDescent="0.25">
      <c r="C1601" s="136"/>
      <c r="D1601" s="139"/>
      <c r="E1601" s="137"/>
      <c r="F1601" s="139"/>
      <c r="G1601" s="139"/>
      <c r="H1601" s="136"/>
      <c r="I1601" s="138"/>
      <c r="J1601" s="138"/>
      <c r="K1601" s="138"/>
    </row>
    <row r="1602" spans="3:11" x14ac:dyDescent="0.25">
      <c r="C1602" s="136"/>
      <c r="D1602" s="139"/>
      <c r="E1602" s="137"/>
      <c r="F1602" s="139"/>
      <c r="G1602" s="139"/>
      <c r="H1602" s="136"/>
      <c r="I1602" s="138"/>
      <c r="J1602" s="138"/>
      <c r="K1602" s="138"/>
    </row>
    <row r="1603" spans="3:11" x14ac:dyDescent="0.25">
      <c r="C1603" s="136"/>
      <c r="D1603" s="139"/>
      <c r="E1603" s="137"/>
      <c r="F1603" s="139"/>
      <c r="G1603" s="139"/>
      <c r="H1603" s="136"/>
      <c r="I1603" s="138"/>
      <c r="J1603" s="138"/>
      <c r="K1603" s="138"/>
    </row>
    <row r="1604" spans="3:11" x14ac:dyDescent="0.25">
      <c r="C1604" s="136"/>
      <c r="D1604" s="139"/>
      <c r="E1604" s="137"/>
      <c r="F1604" s="139"/>
      <c r="G1604" s="139"/>
      <c r="H1604" s="136"/>
      <c r="I1604" s="138"/>
      <c r="J1604" s="138"/>
      <c r="K1604" s="138"/>
    </row>
    <row r="1605" spans="3:11" x14ac:dyDescent="0.25">
      <c r="C1605" s="136"/>
      <c r="D1605" s="139"/>
      <c r="E1605" s="137"/>
      <c r="F1605" s="139"/>
      <c r="G1605" s="139"/>
      <c r="H1605" s="136"/>
      <c r="I1605" s="138"/>
      <c r="J1605" s="138"/>
      <c r="K1605" s="138"/>
    </row>
    <row r="1606" spans="3:11" x14ac:dyDescent="0.25">
      <c r="C1606" s="141"/>
      <c r="D1606" s="139"/>
      <c r="E1606" s="137"/>
      <c r="F1606" s="139"/>
      <c r="G1606" s="139"/>
      <c r="H1606" s="142"/>
      <c r="I1606" s="102"/>
      <c r="J1606" s="102"/>
      <c r="K1606" s="102"/>
    </row>
    <row r="1607" spans="3:11" x14ac:dyDescent="0.25">
      <c r="C1607" s="142"/>
      <c r="D1607" s="139"/>
      <c r="E1607" s="137"/>
      <c r="F1607" s="139"/>
      <c r="G1607" s="139"/>
      <c r="H1607" s="142"/>
      <c r="I1607" s="102"/>
      <c r="J1607" s="102"/>
      <c r="K1607" s="102"/>
    </row>
    <row r="1608" spans="3:11" x14ac:dyDescent="0.25">
      <c r="C1608" s="136"/>
      <c r="D1608" s="139"/>
      <c r="E1608" s="137"/>
      <c r="F1608" s="139"/>
      <c r="G1608" s="139"/>
      <c r="H1608" s="136"/>
      <c r="I1608" s="138"/>
      <c r="J1608" s="138"/>
      <c r="K1608" s="138"/>
    </row>
    <row r="1609" spans="3:11" x14ac:dyDescent="0.25">
      <c r="C1609" s="136"/>
      <c r="D1609" s="139"/>
      <c r="E1609" s="137"/>
      <c r="F1609" s="139"/>
      <c r="G1609" s="139"/>
      <c r="H1609" s="136"/>
      <c r="I1609" s="138"/>
      <c r="J1609" s="138"/>
      <c r="K1609" s="138"/>
    </row>
    <row r="1610" spans="3:11" x14ac:dyDescent="0.25">
      <c r="C1610" s="136"/>
      <c r="D1610" s="139"/>
      <c r="E1610" s="137"/>
      <c r="F1610" s="139"/>
      <c r="G1610" s="139"/>
      <c r="H1610" s="136"/>
      <c r="I1610" s="138"/>
      <c r="J1610" s="138"/>
      <c r="K1610" s="138"/>
    </row>
    <row r="1611" spans="3:11" x14ac:dyDescent="0.25">
      <c r="C1611" s="136"/>
      <c r="D1611" s="139"/>
      <c r="E1611" s="137"/>
      <c r="F1611" s="139"/>
      <c r="G1611" s="139"/>
      <c r="H1611" s="136"/>
      <c r="I1611" s="138"/>
      <c r="J1611" s="138"/>
      <c r="K1611" s="138"/>
    </row>
    <row r="1612" spans="3:11" x14ac:dyDescent="0.25">
      <c r="C1612" s="136"/>
      <c r="D1612" s="139"/>
      <c r="E1612" s="137"/>
      <c r="F1612" s="139"/>
      <c r="G1612" s="139"/>
      <c r="H1612" s="136"/>
      <c r="I1612" s="138"/>
      <c r="J1612" s="138"/>
      <c r="K1612" s="138"/>
    </row>
    <row r="1613" spans="3:11" x14ac:dyDescent="0.25">
      <c r="C1613" s="136"/>
      <c r="D1613" s="139"/>
      <c r="E1613" s="137"/>
      <c r="F1613" s="139"/>
      <c r="G1613" s="139"/>
      <c r="H1613" s="136"/>
      <c r="I1613" s="138"/>
      <c r="J1613" s="138"/>
      <c r="K1613" s="138"/>
    </row>
    <row r="1614" spans="3:11" x14ac:dyDescent="0.25">
      <c r="C1614" s="136"/>
      <c r="D1614" s="139"/>
      <c r="E1614" s="137"/>
      <c r="F1614" s="139"/>
      <c r="G1614" s="139"/>
      <c r="H1614" s="136"/>
      <c r="I1614" s="138"/>
      <c r="J1614" s="138"/>
      <c r="K1614" s="138"/>
    </row>
    <row r="1615" spans="3:11" x14ac:dyDescent="0.25">
      <c r="C1615" s="136"/>
      <c r="D1615" s="139"/>
      <c r="E1615" s="137"/>
      <c r="F1615" s="139"/>
      <c r="G1615" s="139"/>
      <c r="H1615" s="136"/>
      <c r="I1615" s="138"/>
      <c r="J1615" s="138"/>
      <c r="K1615" s="138"/>
    </row>
    <row r="1616" spans="3:11" x14ac:dyDescent="0.25">
      <c r="C1616" s="136"/>
      <c r="D1616" s="139"/>
      <c r="E1616" s="137"/>
      <c r="F1616" s="139"/>
      <c r="G1616" s="139"/>
      <c r="H1616" s="136"/>
      <c r="I1616" s="138"/>
      <c r="J1616" s="138"/>
      <c r="K1616" s="138"/>
    </row>
    <row r="1617" spans="3:11" x14ac:dyDescent="0.25">
      <c r="C1617" s="136"/>
      <c r="D1617" s="139"/>
      <c r="E1617" s="137"/>
      <c r="F1617" s="139"/>
      <c r="G1617" s="139"/>
      <c r="H1617" s="136"/>
      <c r="I1617" s="138"/>
      <c r="J1617" s="138"/>
      <c r="K1617" s="138"/>
    </row>
    <row r="1618" spans="3:11" x14ac:dyDescent="0.25">
      <c r="C1618" s="136"/>
      <c r="D1618" s="139"/>
      <c r="E1618" s="137"/>
      <c r="F1618" s="139"/>
      <c r="G1618" s="139"/>
      <c r="H1618" s="136"/>
      <c r="I1618" s="138"/>
      <c r="J1618" s="138"/>
      <c r="K1618" s="138"/>
    </row>
    <row r="1619" spans="3:11" x14ac:dyDescent="0.25">
      <c r="C1619" s="136"/>
      <c r="D1619" s="139"/>
      <c r="E1619" s="137"/>
      <c r="F1619" s="139"/>
      <c r="G1619" s="139"/>
      <c r="H1619" s="136"/>
      <c r="I1619" s="138"/>
      <c r="J1619" s="138"/>
      <c r="K1619" s="138"/>
    </row>
    <row r="1620" spans="3:11" x14ac:dyDescent="0.25">
      <c r="C1620" s="136"/>
      <c r="D1620" s="139"/>
      <c r="E1620" s="137"/>
      <c r="F1620" s="139"/>
      <c r="G1620" s="139"/>
      <c r="H1620" s="136"/>
      <c r="I1620" s="138"/>
      <c r="J1620" s="138"/>
      <c r="K1620" s="138"/>
    </row>
    <row r="1621" spans="3:11" x14ac:dyDescent="0.25">
      <c r="C1621" s="136"/>
      <c r="D1621" s="139"/>
      <c r="E1621" s="137"/>
      <c r="F1621" s="139"/>
      <c r="G1621" s="139"/>
      <c r="H1621" s="136"/>
      <c r="I1621" s="138"/>
      <c r="J1621" s="138"/>
      <c r="K1621" s="138"/>
    </row>
    <row r="1622" spans="3:11" x14ac:dyDescent="0.25">
      <c r="C1622" s="143"/>
      <c r="D1622" s="139"/>
      <c r="E1622" s="137"/>
      <c r="F1622" s="139"/>
      <c r="G1622" s="139"/>
      <c r="H1622" s="136"/>
      <c r="I1622" s="138"/>
      <c r="J1622" s="138"/>
      <c r="K1622" s="138"/>
    </row>
    <row r="1623" spans="3:11" x14ac:dyDescent="0.25">
      <c r="C1623" s="143"/>
      <c r="D1623" s="139"/>
      <c r="E1623" s="137"/>
      <c r="F1623" s="139"/>
      <c r="G1623" s="139"/>
      <c r="H1623" s="136"/>
      <c r="I1623" s="138"/>
      <c r="J1623" s="138"/>
      <c r="K1623" s="138"/>
    </row>
    <row r="1624" spans="3:11" x14ac:dyDescent="0.25">
      <c r="C1624" s="143"/>
      <c r="D1624" s="139"/>
      <c r="E1624" s="137"/>
      <c r="F1624" s="139"/>
      <c r="G1624" s="139"/>
      <c r="H1624" s="136"/>
      <c r="I1624" s="138"/>
      <c r="J1624" s="138"/>
      <c r="K1624" s="138"/>
    </row>
    <row r="1625" spans="3:11" x14ac:dyDescent="0.25">
      <c r="C1625" s="143"/>
      <c r="D1625" s="139"/>
      <c r="E1625" s="137"/>
      <c r="F1625" s="139"/>
      <c r="G1625" s="139"/>
      <c r="H1625" s="136"/>
      <c r="I1625" s="138"/>
      <c r="J1625" s="138"/>
      <c r="K1625" s="138"/>
    </row>
    <row r="1626" spans="3:11" x14ac:dyDescent="0.25">
      <c r="C1626" s="143"/>
      <c r="D1626" s="139"/>
      <c r="E1626" s="137"/>
      <c r="F1626" s="139"/>
      <c r="G1626" s="139"/>
      <c r="H1626" s="136"/>
      <c r="I1626" s="138"/>
      <c r="J1626" s="138"/>
      <c r="K1626" s="138"/>
    </row>
    <row r="1627" spans="3:11" x14ac:dyDescent="0.25">
      <c r="C1627" s="144"/>
      <c r="D1627" s="139"/>
      <c r="E1627" s="137"/>
      <c r="F1627" s="139"/>
      <c r="G1627" s="139"/>
      <c r="H1627" s="136"/>
      <c r="I1627" s="138"/>
      <c r="J1627" s="138"/>
      <c r="K1627" s="138"/>
    </row>
    <row r="1628" spans="3:11" x14ac:dyDescent="0.25">
      <c r="C1628" s="144"/>
      <c r="D1628" s="139"/>
      <c r="E1628" s="137"/>
      <c r="F1628" s="139"/>
      <c r="G1628" s="139"/>
      <c r="H1628" s="136"/>
      <c r="I1628" s="138"/>
      <c r="J1628" s="138"/>
      <c r="K1628" s="138"/>
    </row>
    <row r="1629" spans="3:11" x14ac:dyDescent="0.25">
      <c r="C1629" s="144"/>
      <c r="D1629" s="139"/>
      <c r="E1629" s="137"/>
      <c r="F1629" s="139"/>
      <c r="G1629" s="139"/>
      <c r="H1629" s="136"/>
      <c r="I1629" s="138"/>
      <c r="J1629" s="138"/>
      <c r="K1629" s="138"/>
    </row>
    <row r="1630" spans="3:11" x14ac:dyDescent="0.25">
      <c r="C1630" s="144"/>
      <c r="D1630" s="139"/>
      <c r="E1630" s="137"/>
      <c r="F1630" s="139"/>
      <c r="G1630" s="139"/>
      <c r="H1630" s="136"/>
      <c r="I1630" s="138"/>
      <c r="J1630" s="138"/>
      <c r="K1630" s="138"/>
    </row>
    <row r="1631" spans="3:11" x14ac:dyDescent="0.25">
      <c r="C1631" s="143"/>
      <c r="D1631" s="139"/>
      <c r="E1631" s="137"/>
      <c r="F1631" s="139"/>
      <c r="G1631" s="139"/>
      <c r="H1631" s="136"/>
      <c r="I1631" s="138"/>
      <c r="J1631" s="138"/>
      <c r="K1631" s="138"/>
    </row>
    <row r="1632" spans="3:11" x14ac:dyDescent="0.25">
      <c r="C1632" s="143"/>
      <c r="D1632" s="139"/>
      <c r="E1632" s="137"/>
      <c r="F1632" s="139"/>
      <c r="G1632" s="139"/>
      <c r="H1632" s="136"/>
      <c r="I1632" s="138"/>
      <c r="J1632" s="138"/>
      <c r="K1632" s="138"/>
    </row>
    <row r="1633" spans="3:11" x14ac:dyDescent="0.25">
      <c r="C1633" s="143"/>
      <c r="D1633" s="139"/>
      <c r="E1633" s="137"/>
      <c r="F1633" s="139"/>
      <c r="G1633" s="139"/>
      <c r="H1633" s="136"/>
      <c r="I1633" s="138"/>
      <c r="J1633" s="138"/>
      <c r="K1633" s="138"/>
    </row>
    <row r="1634" spans="3:11" x14ac:dyDescent="0.25">
      <c r="C1634" s="143"/>
      <c r="D1634" s="139"/>
      <c r="E1634" s="137"/>
      <c r="F1634" s="139"/>
      <c r="G1634" s="139"/>
      <c r="H1634" s="136"/>
      <c r="I1634" s="138"/>
      <c r="J1634" s="138"/>
      <c r="K1634" s="138"/>
    </row>
    <row r="1635" spans="3:11" x14ac:dyDescent="0.25">
      <c r="C1635" s="143"/>
      <c r="D1635" s="139"/>
      <c r="E1635" s="137"/>
      <c r="F1635" s="139"/>
      <c r="G1635" s="139"/>
      <c r="H1635" s="136"/>
      <c r="I1635" s="138"/>
      <c r="J1635" s="138"/>
      <c r="K1635" s="138"/>
    </row>
    <row r="1636" spans="3:11" x14ac:dyDescent="0.25">
      <c r="C1636" s="142"/>
      <c r="D1636" s="139"/>
      <c r="E1636" s="137"/>
      <c r="F1636" s="139"/>
      <c r="G1636" s="139"/>
      <c r="H1636" s="142"/>
      <c r="I1636" s="102"/>
      <c r="J1636" s="102"/>
      <c r="K1636" s="102"/>
    </row>
    <row r="1637" spans="3:11" x14ac:dyDescent="0.25">
      <c r="C1637" s="144"/>
      <c r="D1637" s="139"/>
      <c r="E1637" s="137"/>
      <c r="F1637" s="139"/>
      <c r="G1637" s="139"/>
      <c r="H1637" s="136"/>
      <c r="I1637" s="138"/>
      <c r="J1637" s="138"/>
      <c r="K1637" s="138"/>
    </row>
    <row r="1638" spans="3:11" x14ac:dyDescent="0.25">
      <c r="C1638" s="136"/>
      <c r="D1638" s="139"/>
      <c r="E1638" s="137"/>
      <c r="F1638" s="139"/>
      <c r="G1638" s="139"/>
      <c r="H1638" s="136"/>
      <c r="I1638" s="138"/>
      <c r="J1638" s="138"/>
      <c r="K1638" s="138"/>
    </row>
    <row r="1639" spans="3:11" x14ac:dyDescent="0.25">
      <c r="C1639" s="144"/>
      <c r="D1639" s="139"/>
      <c r="E1639" s="137"/>
      <c r="F1639" s="139"/>
      <c r="G1639" s="139"/>
      <c r="H1639" s="136"/>
      <c r="I1639" s="138"/>
      <c r="J1639" s="138"/>
      <c r="K1639" s="138"/>
    </row>
    <row r="1640" spans="3:11" x14ac:dyDescent="0.25">
      <c r="C1640" s="144"/>
      <c r="D1640" s="139"/>
      <c r="E1640" s="137"/>
      <c r="F1640" s="139"/>
      <c r="G1640" s="139"/>
      <c r="H1640" s="136"/>
      <c r="I1640" s="138"/>
      <c r="J1640" s="138"/>
      <c r="K1640" s="138"/>
    </row>
    <row r="1641" spans="3:11" x14ac:dyDescent="0.25">
      <c r="C1641" s="144"/>
      <c r="D1641" s="139"/>
      <c r="E1641" s="137"/>
      <c r="F1641" s="139"/>
      <c r="G1641" s="139"/>
      <c r="H1641" s="136"/>
      <c r="I1641" s="138"/>
      <c r="J1641" s="138"/>
      <c r="K1641" s="138"/>
    </row>
    <row r="1642" spans="3:11" x14ac:dyDescent="0.25">
      <c r="C1642" s="144"/>
      <c r="D1642" s="139"/>
      <c r="E1642" s="137"/>
      <c r="F1642" s="139"/>
      <c r="G1642" s="139"/>
      <c r="H1642" s="136"/>
      <c r="I1642" s="138"/>
      <c r="J1642" s="138"/>
      <c r="K1642" s="138"/>
    </row>
    <row r="1643" spans="3:11" x14ac:dyDescent="0.25">
      <c r="C1643" s="144"/>
      <c r="D1643" s="143"/>
      <c r="E1643" s="137"/>
      <c r="F1643" s="139"/>
      <c r="G1643" s="139"/>
      <c r="H1643" s="136"/>
      <c r="I1643" s="138"/>
      <c r="J1643" s="138"/>
      <c r="K1643" s="138"/>
    </row>
    <row r="1644" spans="3:11" x14ac:dyDescent="0.25">
      <c r="C1644" s="144"/>
      <c r="D1644" s="136"/>
      <c r="E1644" s="137"/>
      <c r="F1644" s="139"/>
      <c r="G1644" s="139"/>
      <c r="H1644" s="136"/>
      <c r="I1644" s="138"/>
      <c r="J1644" s="138"/>
      <c r="K1644" s="138"/>
    </row>
    <row r="1645" spans="3:11" x14ac:dyDescent="0.25">
      <c r="C1645" s="144"/>
      <c r="D1645" s="136"/>
      <c r="E1645" s="137"/>
      <c r="F1645" s="139"/>
      <c r="G1645" s="139"/>
      <c r="H1645" s="136"/>
      <c r="I1645" s="138"/>
      <c r="J1645" s="138"/>
      <c r="K1645" s="138"/>
    </row>
    <row r="1646" spans="3:11" x14ac:dyDescent="0.25">
      <c r="C1646" s="144"/>
      <c r="D1646" s="136"/>
      <c r="E1646" s="137"/>
      <c r="F1646" s="139"/>
      <c r="G1646" s="139"/>
      <c r="H1646" s="136"/>
      <c r="I1646" s="138"/>
      <c r="J1646" s="138"/>
      <c r="K1646" s="138"/>
    </row>
    <row r="1647" spans="3:11" x14ac:dyDescent="0.25">
      <c r="C1647" s="144"/>
      <c r="D1647" s="136"/>
      <c r="E1647" s="137"/>
      <c r="F1647" s="139"/>
      <c r="G1647" s="139"/>
      <c r="H1647" s="136"/>
      <c r="I1647" s="138"/>
      <c r="J1647" s="138"/>
      <c r="K1647" s="138"/>
    </row>
    <row r="1648" spans="3:11" x14ac:dyDescent="0.25">
      <c r="C1648" s="144"/>
      <c r="D1648" s="136"/>
      <c r="E1648" s="137"/>
      <c r="F1648" s="139"/>
      <c r="G1648" s="139"/>
      <c r="H1648" s="136"/>
      <c r="I1648" s="138"/>
      <c r="J1648" s="138"/>
      <c r="K1648" s="138"/>
    </row>
    <row r="1649" spans="3:11" x14ac:dyDescent="0.25">
      <c r="C1649" s="136"/>
      <c r="D1649" s="136"/>
      <c r="E1649" s="137"/>
      <c r="F1649" s="139"/>
      <c r="G1649" s="139"/>
      <c r="H1649" s="136"/>
      <c r="I1649" s="138"/>
      <c r="J1649" s="138"/>
      <c r="K1649" s="138"/>
    </row>
    <row r="1650" spans="3:11" x14ac:dyDescent="0.25">
      <c r="C1650" s="136"/>
      <c r="D1650" s="136"/>
      <c r="E1650" s="137"/>
      <c r="F1650" s="139"/>
      <c r="G1650" s="139"/>
      <c r="H1650" s="136"/>
      <c r="I1650" s="138"/>
      <c r="J1650" s="138"/>
      <c r="K1650" s="138"/>
    </row>
    <row r="1651" spans="3:11" x14ac:dyDescent="0.25">
      <c r="C1651" s="136"/>
      <c r="D1651" s="136"/>
      <c r="E1651" s="137"/>
      <c r="F1651" s="139"/>
      <c r="G1651" s="139"/>
      <c r="H1651" s="136"/>
      <c r="I1651" s="138"/>
      <c r="J1651" s="138"/>
      <c r="K1651" s="138"/>
    </row>
    <row r="1652" spans="3:11" x14ac:dyDescent="0.25">
      <c r="C1652" s="136"/>
      <c r="D1652" s="136"/>
      <c r="E1652" s="137"/>
      <c r="F1652" s="139"/>
      <c r="G1652" s="139"/>
      <c r="H1652" s="136"/>
      <c r="I1652" s="138"/>
      <c r="J1652" s="138"/>
      <c r="K1652" s="138"/>
    </row>
    <row r="1653" spans="3:11" x14ac:dyDescent="0.25">
      <c r="C1653" s="136"/>
      <c r="D1653" s="136"/>
      <c r="E1653" s="137"/>
      <c r="F1653" s="139"/>
      <c r="G1653" s="139"/>
      <c r="H1653" s="136"/>
      <c r="I1653" s="138"/>
      <c r="J1653" s="138"/>
      <c r="K1653" s="138"/>
    </row>
    <row r="1654" spans="3:11" x14ac:dyDescent="0.25">
      <c r="C1654" s="136"/>
      <c r="D1654" s="136"/>
      <c r="E1654" s="137"/>
      <c r="F1654" s="139"/>
      <c r="G1654" s="139"/>
      <c r="H1654" s="136"/>
      <c r="I1654" s="138"/>
      <c r="J1654" s="138"/>
      <c r="K1654" s="138"/>
    </row>
    <row r="1655" spans="3:11" x14ac:dyDescent="0.25">
      <c r="C1655" s="136"/>
      <c r="D1655" s="136"/>
      <c r="E1655" s="137"/>
      <c r="F1655" s="139"/>
      <c r="G1655" s="139"/>
      <c r="H1655" s="136"/>
      <c r="I1655" s="138"/>
      <c r="J1655" s="138"/>
      <c r="K1655" s="138"/>
    </row>
    <row r="1656" spans="3:11" x14ac:dyDescent="0.25">
      <c r="C1656" s="136"/>
      <c r="D1656" s="136"/>
      <c r="E1656" s="137"/>
      <c r="F1656" s="139"/>
      <c r="G1656" s="139"/>
      <c r="H1656" s="136"/>
      <c r="I1656" s="138"/>
      <c r="J1656" s="138"/>
      <c r="K1656" s="138"/>
    </row>
    <row r="1657" spans="3:11" x14ac:dyDescent="0.25">
      <c r="C1657" s="136"/>
      <c r="D1657" s="136"/>
      <c r="E1657" s="137"/>
      <c r="F1657" s="139"/>
      <c r="G1657" s="139"/>
      <c r="H1657" s="136"/>
      <c r="I1657" s="138"/>
      <c r="J1657" s="138"/>
      <c r="K1657" s="138"/>
    </row>
    <row r="1658" spans="3:11" x14ac:dyDescent="0.25">
      <c r="C1658" s="136"/>
      <c r="D1658" s="136"/>
      <c r="E1658" s="137"/>
      <c r="F1658" s="139"/>
      <c r="G1658" s="139"/>
      <c r="H1658" s="136"/>
      <c r="I1658" s="138"/>
      <c r="J1658" s="138"/>
      <c r="K1658" s="138"/>
    </row>
    <row r="1659" spans="3:11" x14ac:dyDescent="0.25">
      <c r="C1659" s="136"/>
      <c r="D1659" s="136"/>
      <c r="E1659" s="137"/>
      <c r="F1659" s="139"/>
      <c r="G1659" s="139"/>
      <c r="H1659" s="136"/>
      <c r="I1659" s="138"/>
      <c r="J1659" s="138"/>
      <c r="K1659" s="138"/>
    </row>
    <row r="1660" spans="3:11" x14ac:dyDescent="0.25">
      <c r="C1660" s="136"/>
      <c r="D1660" s="136"/>
      <c r="E1660" s="137"/>
      <c r="F1660" s="139"/>
      <c r="G1660" s="139"/>
      <c r="H1660" s="136"/>
      <c r="I1660" s="138"/>
      <c r="J1660" s="138"/>
      <c r="K1660" s="138"/>
    </row>
    <row r="1661" spans="3:11" x14ac:dyDescent="0.25">
      <c r="C1661" s="136"/>
      <c r="D1661" s="136"/>
      <c r="E1661" s="137"/>
      <c r="F1661" s="139"/>
      <c r="G1661" s="139"/>
      <c r="H1661" s="136"/>
      <c r="I1661" s="138"/>
      <c r="J1661" s="138"/>
      <c r="K1661" s="138"/>
    </row>
    <row r="1662" spans="3:11" x14ac:dyDescent="0.25">
      <c r="C1662" s="136"/>
      <c r="D1662" s="136"/>
      <c r="E1662" s="137"/>
      <c r="F1662" s="139"/>
      <c r="G1662" s="139"/>
      <c r="H1662" s="136"/>
      <c r="I1662" s="138"/>
      <c r="J1662" s="138"/>
      <c r="K1662" s="138"/>
    </row>
    <row r="1663" spans="3:11" x14ac:dyDescent="0.25">
      <c r="C1663" s="136"/>
      <c r="D1663" s="136"/>
      <c r="E1663" s="137"/>
      <c r="F1663" s="139"/>
      <c r="G1663" s="139"/>
      <c r="H1663" s="136"/>
      <c r="I1663" s="138"/>
      <c r="J1663" s="138"/>
      <c r="K1663" s="138"/>
    </row>
    <row r="1664" spans="3:11" x14ac:dyDescent="0.25">
      <c r="C1664" s="136"/>
      <c r="D1664" s="136"/>
      <c r="E1664" s="137"/>
      <c r="F1664" s="139"/>
      <c r="G1664" s="139"/>
      <c r="H1664" s="136"/>
      <c r="I1664" s="138"/>
      <c r="J1664" s="138"/>
      <c r="K1664" s="138"/>
    </row>
    <row r="1665" spans="3:11" x14ac:dyDescent="0.25">
      <c r="C1665" s="136"/>
      <c r="D1665" s="136"/>
      <c r="E1665" s="137"/>
      <c r="F1665" s="139"/>
      <c r="G1665" s="139"/>
      <c r="H1665" s="136"/>
      <c r="I1665" s="138"/>
      <c r="J1665" s="138"/>
      <c r="K1665" s="138"/>
    </row>
    <row r="1666" spans="3:11" x14ac:dyDescent="0.25">
      <c r="C1666" s="136"/>
      <c r="D1666" s="136"/>
      <c r="E1666" s="137"/>
      <c r="F1666" s="139"/>
      <c r="G1666" s="139"/>
      <c r="H1666" s="136"/>
      <c r="I1666" s="138"/>
      <c r="J1666" s="138"/>
      <c r="K1666" s="138"/>
    </row>
    <row r="1667" spans="3:11" x14ac:dyDescent="0.25">
      <c r="C1667" s="136"/>
      <c r="D1667" s="136"/>
      <c r="E1667" s="137"/>
      <c r="F1667" s="139"/>
      <c r="G1667" s="139"/>
      <c r="H1667" s="136"/>
      <c r="I1667" s="138"/>
      <c r="J1667" s="138"/>
      <c r="K1667" s="138"/>
    </row>
    <row r="1668" spans="3:11" x14ac:dyDescent="0.25">
      <c r="C1668" s="136"/>
      <c r="D1668" s="136"/>
      <c r="E1668" s="137"/>
      <c r="F1668" s="139"/>
      <c r="G1668" s="139"/>
      <c r="H1668" s="136"/>
      <c r="I1668" s="138"/>
      <c r="J1668" s="138"/>
      <c r="K1668" s="138"/>
    </row>
    <row r="1669" spans="3:11" x14ac:dyDescent="0.25">
      <c r="C1669" s="136"/>
      <c r="D1669" s="136"/>
      <c r="E1669" s="137"/>
      <c r="F1669" s="139"/>
      <c r="G1669" s="139"/>
      <c r="H1669" s="136"/>
      <c r="I1669" s="138"/>
      <c r="J1669" s="138"/>
      <c r="K1669" s="138"/>
    </row>
    <row r="1670" spans="3:11" x14ac:dyDescent="0.25">
      <c r="C1670" s="136"/>
      <c r="D1670" s="136"/>
      <c r="E1670" s="137"/>
      <c r="F1670" s="139"/>
      <c r="G1670" s="139"/>
      <c r="H1670" s="136"/>
      <c r="I1670" s="138"/>
      <c r="J1670" s="138"/>
      <c r="K1670" s="138"/>
    </row>
  </sheetData>
  <mergeCells count="11">
    <mergeCell ref="F1:H1"/>
    <mergeCell ref="I1:K1"/>
    <mergeCell ref="N1:N2"/>
    <mergeCell ref="O1:O2"/>
    <mergeCell ref="A1:A2"/>
    <mergeCell ref="B1:B2"/>
    <mergeCell ref="C1:C2"/>
    <mergeCell ref="D1:D2"/>
    <mergeCell ref="E1:E2"/>
    <mergeCell ref="M1:M2"/>
    <mergeCell ref="L1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Information</vt:lpstr>
      <vt:lpstr>Club Abbreviations</vt:lpstr>
      <vt:lpstr>February 2023</vt:lpstr>
      <vt:lpstr>May 2023</vt:lpstr>
      <vt:lpstr>August 2023</vt:lpstr>
      <vt:lpstr>October 2023</vt:lpstr>
      <vt:lpstr>'Club Abbreviations'!Clubnames</vt:lpstr>
    </vt:vector>
  </TitlesOfParts>
  <Company>None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 van Deventer</dc:creator>
  <cp:lastModifiedBy>Dennis</cp:lastModifiedBy>
  <cp:lastPrinted>2019-03-08T13:52:33Z</cp:lastPrinted>
  <dcterms:created xsi:type="dcterms:W3CDTF">2010-11-25T13:46:25Z</dcterms:created>
  <dcterms:modified xsi:type="dcterms:W3CDTF">2022-11-30T17:28:37Z</dcterms:modified>
</cp:coreProperties>
</file>