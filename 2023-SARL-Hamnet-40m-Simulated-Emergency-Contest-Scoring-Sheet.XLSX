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nis ZS4BS\Documents\Excel\"/>
    </mc:Choice>
  </mc:AlternateContent>
  <bookViews>
    <workbookView xWindow="195" yWindow="30" windowWidth="13260" windowHeight="10155" xr2:uid="{00000000-000D-0000-FFFF-FFFF00000000}"/>
  </bookViews>
  <sheets>
    <sheet name="HAMNET" sheetId="1" r:id="rId1"/>
    <sheet name="Sheet2" sheetId="2" r:id="rId2"/>
    <sheet name="Sheet3" sheetId="3" r:id="rId3"/>
  </sheets>
  <calcPr calcId="171027"/>
  <customWorkbookViews>
    <customWorkbookView name="Test" guid="{62E5E9A5-D73F-43D4-976F-2B141A0E2540}" maximized="1" windowWidth="1396" windowHeight="850" activeSheetId="1"/>
  </customWorkbookViews>
</workbook>
</file>

<file path=xl/calcChain.xml><?xml version="1.0" encoding="utf-8"?>
<calcChain xmlns="http://schemas.openxmlformats.org/spreadsheetml/2006/main">
  <c r="H40" i="1" l="1"/>
  <c r="D40" i="1"/>
  <c r="D39" i="1"/>
  <c r="F39" i="1" s="1"/>
  <c r="D38" i="1"/>
  <c r="F38" i="1" s="1"/>
  <c r="J146" i="1"/>
  <c r="H146" i="1"/>
  <c r="D146" i="1"/>
  <c r="F146" i="1"/>
  <c r="G146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J145" i="1"/>
  <c r="H145" i="1"/>
  <c r="D145" i="1"/>
  <c r="F145" i="1"/>
  <c r="G145" i="1"/>
  <c r="J144" i="1"/>
  <c r="H144" i="1"/>
  <c r="D144" i="1"/>
  <c r="F144" i="1" s="1"/>
  <c r="G144" i="1"/>
  <c r="J143" i="1"/>
  <c r="H143" i="1"/>
  <c r="D143" i="1"/>
  <c r="F143" i="1" s="1"/>
  <c r="G143" i="1"/>
  <c r="J142" i="1"/>
  <c r="H142" i="1"/>
  <c r="D142" i="1"/>
  <c r="F142" i="1" s="1"/>
  <c r="G142" i="1"/>
  <c r="J141" i="1"/>
  <c r="H141" i="1"/>
  <c r="D141" i="1"/>
  <c r="F141" i="1"/>
  <c r="G141" i="1"/>
  <c r="J140" i="1"/>
  <c r="H140" i="1"/>
  <c r="D140" i="1"/>
  <c r="F140" i="1" s="1"/>
  <c r="G140" i="1"/>
  <c r="J139" i="1"/>
  <c r="H139" i="1"/>
  <c r="D139" i="1"/>
  <c r="F139" i="1" s="1"/>
  <c r="G139" i="1"/>
  <c r="J138" i="1"/>
  <c r="H138" i="1"/>
  <c r="D138" i="1"/>
  <c r="F138" i="1" s="1"/>
  <c r="G138" i="1"/>
  <c r="J137" i="1"/>
  <c r="H137" i="1"/>
  <c r="D137" i="1"/>
  <c r="F137" i="1"/>
  <c r="G137" i="1"/>
  <c r="J136" i="1"/>
  <c r="H136" i="1"/>
  <c r="D136" i="1"/>
  <c r="F136" i="1" s="1"/>
  <c r="G136" i="1"/>
  <c r="J135" i="1"/>
  <c r="H135" i="1"/>
  <c r="D135" i="1"/>
  <c r="F135" i="1" s="1"/>
  <c r="G135" i="1"/>
  <c r="J134" i="1"/>
  <c r="H134" i="1"/>
  <c r="D134" i="1"/>
  <c r="F134" i="1" s="1"/>
  <c r="G134" i="1"/>
  <c r="J133" i="1"/>
  <c r="H133" i="1"/>
  <c r="D133" i="1"/>
  <c r="F133" i="1"/>
  <c r="G133" i="1"/>
  <c r="J132" i="1"/>
  <c r="H132" i="1"/>
  <c r="D132" i="1"/>
  <c r="F132" i="1" s="1"/>
  <c r="G132" i="1"/>
  <c r="J131" i="1"/>
  <c r="H131" i="1"/>
  <c r="D131" i="1"/>
  <c r="F131" i="1" s="1"/>
  <c r="G131" i="1"/>
  <c r="J130" i="1"/>
  <c r="H130" i="1"/>
  <c r="D130" i="1"/>
  <c r="F130" i="1" s="1"/>
  <c r="G130" i="1"/>
  <c r="J129" i="1"/>
  <c r="H129" i="1"/>
  <c r="D129" i="1"/>
  <c r="F129" i="1"/>
  <c r="G129" i="1"/>
  <c r="J128" i="1"/>
  <c r="H128" i="1"/>
  <c r="D128" i="1"/>
  <c r="F128" i="1" s="1"/>
  <c r="G128" i="1"/>
  <c r="H52" i="1"/>
  <c r="H70" i="1"/>
  <c r="H78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D42" i="1"/>
  <c r="F42" i="1" s="1"/>
  <c r="D43" i="1"/>
  <c r="D44" i="1"/>
  <c r="F44" i="1" s="1"/>
  <c r="D45" i="1"/>
  <c r="F45" i="1" s="1"/>
  <c r="D46" i="1"/>
  <c r="F46" i="1" s="1"/>
  <c r="D47" i="1"/>
  <c r="F47" i="1" s="1"/>
  <c r="D48" i="1"/>
  <c r="F48" i="1" s="1"/>
  <c r="D41" i="1"/>
  <c r="D50" i="1"/>
  <c r="F50" i="1" s="1"/>
  <c r="D51" i="1"/>
  <c r="F51" i="1" s="1"/>
  <c r="G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D72" i="1"/>
  <c r="F72" i="1" s="1"/>
  <c r="D73" i="1"/>
  <c r="D74" i="1"/>
  <c r="F74" i="1" s="1"/>
  <c r="D75" i="1"/>
  <c r="F75" i="1" s="1"/>
  <c r="D76" i="1"/>
  <c r="D77" i="1"/>
  <c r="F77" i="1" s="1"/>
  <c r="D78" i="1"/>
  <c r="F78" i="1" s="1"/>
  <c r="D79" i="1"/>
  <c r="F79" i="1" s="1"/>
  <c r="D80" i="1"/>
  <c r="D81" i="1"/>
  <c r="F81" i="1" s="1"/>
  <c r="D82" i="1"/>
  <c r="F82" i="1" s="1"/>
  <c r="D83" i="1"/>
  <c r="D84" i="1"/>
  <c r="D85" i="1"/>
  <c r="D86" i="1"/>
  <c r="F86" i="1" s="1"/>
  <c r="D87" i="1"/>
  <c r="F87" i="1" s="1"/>
  <c r="D88" i="1"/>
  <c r="D89" i="1"/>
  <c r="F89" i="1" s="1"/>
  <c r="D90" i="1"/>
  <c r="F90" i="1" s="1"/>
  <c r="D91" i="1"/>
  <c r="D92" i="1"/>
  <c r="D93" i="1"/>
  <c r="D94" i="1"/>
  <c r="F94" i="1" s="1"/>
  <c r="D95" i="1"/>
  <c r="F95" i="1" s="1"/>
  <c r="D96" i="1"/>
  <c r="D97" i="1"/>
  <c r="F97" i="1" s="1"/>
  <c r="D98" i="1"/>
  <c r="F98" i="1" s="1"/>
  <c r="D99" i="1"/>
  <c r="D100" i="1"/>
  <c r="D101" i="1"/>
  <c r="D102" i="1"/>
  <c r="F102" i="1" s="1"/>
  <c r="D103" i="1"/>
  <c r="F103" i="1" s="1"/>
  <c r="D104" i="1"/>
  <c r="D105" i="1"/>
  <c r="F105" i="1" s="1"/>
  <c r="D106" i="1"/>
  <c r="F106" i="1" s="1"/>
  <c r="D107" i="1"/>
  <c r="D108" i="1"/>
  <c r="D109" i="1"/>
  <c r="D110" i="1"/>
  <c r="F110" i="1" s="1"/>
  <c r="D111" i="1"/>
  <c r="F111" i="1" s="1"/>
  <c r="D112" i="1"/>
  <c r="D113" i="1"/>
  <c r="F113" i="1" s="1"/>
  <c r="D114" i="1"/>
  <c r="F114" i="1" s="1"/>
  <c r="D115" i="1"/>
  <c r="D116" i="1"/>
  <c r="D117" i="1"/>
  <c r="D118" i="1"/>
  <c r="F118" i="1" s="1"/>
  <c r="D119" i="1"/>
  <c r="F119" i="1" s="1"/>
  <c r="D120" i="1"/>
  <c r="D121" i="1"/>
  <c r="F121" i="1" s="1"/>
  <c r="D122" i="1"/>
  <c r="F122" i="1" s="1"/>
  <c r="D123" i="1"/>
  <c r="D124" i="1"/>
  <c r="D125" i="1"/>
  <c r="D126" i="1"/>
  <c r="F126" i="1" s="1"/>
  <c r="D127" i="1"/>
  <c r="F127" i="1" s="1"/>
  <c r="D49" i="1"/>
  <c r="F49" i="1" s="1"/>
  <c r="J48" i="1"/>
  <c r="J49" i="1"/>
  <c r="J50" i="1"/>
  <c r="J51" i="1"/>
  <c r="J52" i="1"/>
  <c r="J53" i="1"/>
  <c r="J54" i="1"/>
  <c r="G54" i="1"/>
  <c r="J55" i="1"/>
  <c r="J56" i="1"/>
  <c r="J57" i="1"/>
  <c r="J58" i="1"/>
  <c r="G58" i="1"/>
  <c r="J59" i="1"/>
  <c r="J60" i="1"/>
  <c r="G60" i="1" s="1"/>
  <c r="J61" i="1"/>
  <c r="J62" i="1"/>
  <c r="J63" i="1"/>
  <c r="J64" i="1"/>
  <c r="J65" i="1"/>
  <c r="J66" i="1"/>
  <c r="J67" i="1"/>
  <c r="J68" i="1"/>
  <c r="J69" i="1"/>
  <c r="G70" i="1"/>
  <c r="J70" i="1"/>
  <c r="F71" i="1"/>
  <c r="J71" i="1"/>
  <c r="G71" i="1"/>
  <c r="J72" i="1"/>
  <c r="F73" i="1"/>
  <c r="J73" i="1"/>
  <c r="G73" i="1"/>
  <c r="J74" i="1"/>
  <c r="J75" i="1"/>
  <c r="G75" i="1"/>
  <c r="F76" i="1"/>
  <c r="J76" i="1"/>
  <c r="G76" i="1"/>
  <c r="J77" i="1"/>
  <c r="G77" i="1"/>
  <c r="J78" i="1"/>
  <c r="G78" i="1"/>
  <c r="J79" i="1"/>
  <c r="G79" i="1"/>
  <c r="F80" i="1"/>
  <c r="J80" i="1"/>
  <c r="G80" i="1"/>
  <c r="J81" i="1"/>
  <c r="G81" i="1"/>
  <c r="J82" i="1"/>
  <c r="G82" i="1"/>
  <c r="F83" i="1"/>
  <c r="J83" i="1"/>
  <c r="G83" i="1"/>
  <c r="F84" i="1"/>
  <c r="J84" i="1"/>
  <c r="G84" i="1"/>
  <c r="F85" i="1"/>
  <c r="J85" i="1"/>
  <c r="G85" i="1"/>
  <c r="J86" i="1"/>
  <c r="G86" i="1"/>
  <c r="J87" i="1"/>
  <c r="G87" i="1"/>
  <c r="F88" i="1"/>
  <c r="J88" i="1"/>
  <c r="G88" i="1"/>
  <c r="J89" i="1"/>
  <c r="G89" i="1"/>
  <c r="J90" i="1"/>
  <c r="G90" i="1"/>
  <c r="F91" i="1"/>
  <c r="J91" i="1"/>
  <c r="G91" i="1"/>
  <c r="F92" i="1"/>
  <c r="J92" i="1"/>
  <c r="G92" i="1"/>
  <c r="F93" i="1"/>
  <c r="J93" i="1"/>
  <c r="G93" i="1"/>
  <c r="J94" i="1"/>
  <c r="G94" i="1"/>
  <c r="J95" i="1"/>
  <c r="G95" i="1"/>
  <c r="F96" i="1"/>
  <c r="J96" i="1"/>
  <c r="G96" i="1"/>
  <c r="J97" i="1"/>
  <c r="G97" i="1"/>
  <c r="J98" i="1"/>
  <c r="G98" i="1"/>
  <c r="F99" i="1"/>
  <c r="J99" i="1"/>
  <c r="G99" i="1"/>
  <c r="F100" i="1"/>
  <c r="J100" i="1"/>
  <c r="G100" i="1"/>
  <c r="F101" i="1"/>
  <c r="J101" i="1"/>
  <c r="G101" i="1"/>
  <c r="J102" i="1"/>
  <c r="G102" i="1"/>
  <c r="J103" i="1"/>
  <c r="G103" i="1"/>
  <c r="F104" i="1"/>
  <c r="J104" i="1"/>
  <c r="G104" i="1"/>
  <c r="J105" i="1"/>
  <c r="G105" i="1"/>
  <c r="J106" i="1"/>
  <c r="G106" i="1"/>
  <c r="F107" i="1"/>
  <c r="J107" i="1"/>
  <c r="G107" i="1"/>
  <c r="F108" i="1"/>
  <c r="J108" i="1"/>
  <c r="G108" i="1"/>
  <c r="F109" i="1"/>
  <c r="J109" i="1"/>
  <c r="G109" i="1"/>
  <c r="J110" i="1"/>
  <c r="G110" i="1"/>
  <c r="J111" i="1"/>
  <c r="G111" i="1"/>
  <c r="F112" i="1"/>
  <c r="J112" i="1"/>
  <c r="G112" i="1"/>
  <c r="J113" i="1"/>
  <c r="G113" i="1"/>
  <c r="J114" i="1"/>
  <c r="G114" i="1"/>
  <c r="F115" i="1"/>
  <c r="J115" i="1"/>
  <c r="G115" i="1"/>
  <c r="F116" i="1"/>
  <c r="J116" i="1"/>
  <c r="G116" i="1"/>
  <c r="F117" i="1"/>
  <c r="J117" i="1"/>
  <c r="G117" i="1"/>
  <c r="J118" i="1"/>
  <c r="G118" i="1"/>
  <c r="J119" i="1"/>
  <c r="G119" i="1"/>
  <c r="F120" i="1"/>
  <c r="J120" i="1"/>
  <c r="G120" i="1"/>
  <c r="J121" i="1"/>
  <c r="G121" i="1"/>
  <c r="J122" i="1"/>
  <c r="G122" i="1"/>
  <c r="F123" i="1"/>
  <c r="J123" i="1"/>
  <c r="G123" i="1"/>
  <c r="F124" i="1"/>
  <c r="J124" i="1"/>
  <c r="G124" i="1"/>
  <c r="F125" i="1"/>
  <c r="J125" i="1"/>
  <c r="G125" i="1"/>
  <c r="J126" i="1"/>
  <c r="G126" i="1"/>
  <c r="J127" i="1"/>
  <c r="G127" i="1"/>
  <c r="F41" i="1"/>
  <c r="G41" i="1" s="1"/>
  <c r="J41" i="1"/>
  <c r="J42" i="1"/>
  <c r="F43" i="1"/>
  <c r="J43" i="1"/>
  <c r="J44" i="1"/>
  <c r="J45" i="1"/>
  <c r="J46" i="1"/>
  <c r="J47" i="1"/>
  <c r="G47" i="1" s="1"/>
  <c r="J38" i="1"/>
  <c r="J39" i="1"/>
  <c r="G39" i="1"/>
  <c r="F40" i="1"/>
  <c r="J40" i="1"/>
  <c r="D159" i="1"/>
  <c r="B159" i="1"/>
  <c r="H73" i="1"/>
  <c r="H71" i="1"/>
  <c r="H69" i="1"/>
  <c r="H65" i="1"/>
  <c r="G69" i="1"/>
  <c r="G68" i="1"/>
  <c r="H67" i="1"/>
  <c r="H61" i="1"/>
  <c r="H53" i="1"/>
  <c r="H51" i="1"/>
  <c r="G65" i="1"/>
  <c r="G64" i="1"/>
  <c r="H66" i="1"/>
  <c r="H63" i="1"/>
  <c r="H59" i="1"/>
  <c r="H55" i="1"/>
  <c r="H48" i="1"/>
  <c r="G62" i="1"/>
  <c r="G67" i="1"/>
  <c r="H64" i="1"/>
  <c r="H62" i="1"/>
  <c r="H60" i="1"/>
  <c r="H58" i="1"/>
  <c r="H56" i="1"/>
  <c r="H54" i="1"/>
  <c r="H50" i="1"/>
  <c r="H45" i="1"/>
  <c r="G61" i="1"/>
  <c r="H49" i="1"/>
  <c r="H47" i="1"/>
  <c r="H43" i="1"/>
  <c r="H46" i="1"/>
  <c r="H44" i="1"/>
  <c r="H41" i="1"/>
  <c r="H38" i="1"/>
  <c r="H42" i="1"/>
  <c r="H79" i="1"/>
  <c r="H77" i="1"/>
  <c r="H75" i="1"/>
  <c r="H72" i="1"/>
  <c r="H68" i="1"/>
  <c r="G74" i="1"/>
  <c r="G72" i="1"/>
  <c r="H80" i="1"/>
  <c r="H76" i="1"/>
  <c r="H74" i="1"/>
  <c r="H57" i="1"/>
  <c r="H39" i="1"/>
  <c r="G38" i="1" l="1"/>
  <c r="G40" i="1"/>
  <c r="G52" i="1"/>
  <c r="G48" i="1"/>
  <c r="G45" i="1"/>
  <c r="G66" i="1"/>
  <c r="G63" i="1"/>
  <c r="G59" i="1"/>
  <c r="G57" i="1"/>
  <c r="G56" i="1"/>
  <c r="G55" i="1"/>
  <c r="G53" i="1"/>
  <c r="G50" i="1"/>
  <c r="G49" i="1"/>
  <c r="G46" i="1"/>
  <c r="G44" i="1"/>
  <c r="G43" i="1"/>
  <c r="G42" i="1"/>
  <c r="G147" i="1" l="1"/>
  <c r="I161" i="1" s="1"/>
  <c r="F159" i="1" l="1"/>
</calcChain>
</file>

<file path=xl/sharedStrings.xml><?xml version="1.0" encoding="utf-8"?>
<sst xmlns="http://schemas.openxmlformats.org/spreadsheetml/2006/main" count="93" uniqueCount="89">
  <si>
    <t>Nr</t>
  </si>
  <si>
    <t>Call Sign</t>
  </si>
  <si>
    <t>Cat</t>
  </si>
  <si>
    <t>Category a: Starting with 201 for the first contact</t>
  </si>
  <si>
    <t>Category b: Starting with 401 for the first contact</t>
  </si>
  <si>
    <t>Category d: Starting with 801 for the first contact</t>
  </si>
  <si>
    <t>Category c: Starting with 601 for the first contact</t>
  </si>
  <si>
    <t>Non-participants start with 001 for the first contact.</t>
  </si>
  <si>
    <t>Single operator, stationary mobile</t>
  </si>
  <si>
    <t>Single operator, portable</t>
  </si>
  <si>
    <t>Multi operator, portable</t>
  </si>
  <si>
    <t>Single operator, base station</t>
  </si>
  <si>
    <t>Exchange</t>
  </si>
  <si>
    <t>Signal report followed by  a three figure number as follows!</t>
  </si>
  <si>
    <t>Scoring  - Scoring consists of points accumulated from all contacts, multiplied by a mutiplier.</t>
  </si>
  <si>
    <t>Contacts with station in:</t>
  </si>
  <si>
    <t>Category a, b &amp; c in own area</t>
  </si>
  <si>
    <t>Category a, b &amp; c in another area</t>
  </si>
  <si>
    <t>Category d or non-participants in own area</t>
  </si>
  <si>
    <t>Category d or non-participants in another area</t>
  </si>
  <si>
    <t>Areas are defined in the following list:</t>
  </si>
  <si>
    <t>ZS1</t>
  </si>
  <si>
    <t>ZS2</t>
  </si>
  <si>
    <t>ZS3</t>
  </si>
  <si>
    <t>ZS4</t>
  </si>
  <si>
    <t>ZS5</t>
  </si>
  <si>
    <t>ZS6</t>
  </si>
  <si>
    <t>3DA, 7P, C9, Z2, ZS8</t>
  </si>
  <si>
    <t>A2, V5, ZS7</t>
  </si>
  <si>
    <t>The multiplier consists of the number of call areas worked, multiplied by a power mulitplier. The</t>
  </si>
  <si>
    <t>power multiplier is 2 for an output power of over 50 W PEP and 3 for an output power of less</t>
  </si>
  <si>
    <t>than 50 W PEP.</t>
  </si>
  <si>
    <t>My multiplier for power:</t>
  </si>
  <si>
    <t>RST Recvd.</t>
  </si>
  <si>
    <t>Date</t>
  </si>
  <si>
    <t>Points</t>
  </si>
  <si>
    <t>Total points for competition calculated</t>
  </si>
  <si>
    <t xml:space="preserve">Number of areas worked X Power Multiplier X Total points </t>
  </si>
  <si>
    <t>X</t>
  </si>
  <si>
    <t>=</t>
  </si>
  <si>
    <t>My competition category:</t>
  </si>
  <si>
    <t>My area/division of operation :</t>
  </si>
  <si>
    <t>My competition call sign:</t>
  </si>
  <si>
    <t>4. Enter your area / division you are operating from.</t>
  </si>
  <si>
    <t>3. Enter your power multiplier at indicated space.</t>
  </si>
  <si>
    <t>2. Enter your competition category at indicated space.</t>
  </si>
  <si>
    <t>1. Enter your call sign as used during competition at indicated space.</t>
  </si>
  <si>
    <t>5. Enter your name and address at indicated space.</t>
  </si>
  <si>
    <t>6. Enter your telephone number at indicated space.</t>
  </si>
  <si>
    <t>7. Enter competition date at indicated space.</t>
  </si>
  <si>
    <t>Preliminary</t>
  </si>
  <si>
    <t>During Competition</t>
  </si>
  <si>
    <t>2. Fill in call sign you made contact with.</t>
  </si>
  <si>
    <t>4. Fill in area or division number according to list.</t>
  </si>
  <si>
    <t>5.Fill in time by pressing Control + Shift + ; (Control + shift + semi-colon)</t>
  </si>
  <si>
    <t>Qual</t>
  </si>
  <si>
    <t>Time (SAST)</t>
  </si>
  <si>
    <t>3. Fill in RST received only using the three figure exchange number received.</t>
  </si>
  <si>
    <t>End of Competition</t>
  </si>
  <si>
    <t>by: Carel Oberholzer (ZS3OBE)</t>
  </si>
  <si>
    <t>1. Check and enter the number of call areas worked at near bottom of sheet.</t>
  </si>
  <si>
    <t>2. Save &amp; print form.</t>
  </si>
  <si>
    <t>3. Fill in name and date and sign form at bottom in areas indicated.</t>
  </si>
  <si>
    <t>4. Fax or mail form to controlling authority.</t>
  </si>
  <si>
    <t>NOTES</t>
  </si>
  <si>
    <t>1. Values should be entered by operator only in areas displayed in red on scoring sheet.</t>
  </si>
  <si>
    <t>1. Upon entering your operating category the computer will automatically fill in your three-figure exchange numbers to be used.</t>
  </si>
  <si>
    <t>The computer will automatically calculate the category of the contact made according to three figure exchange number received.</t>
  </si>
  <si>
    <t>The multiplier consists of the number of call areas worked, multiplied by a power multiplier. The</t>
  </si>
  <si>
    <t>The computer will automatically calculate points earned from the specific contact.</t>
  </si>
  <si>
    <t xml:space="preserve">Ctrl+Shft+ ; </t>
  </si>
  <si>
    <t>My Address:</t>
  </si>
  <si>
    <t xml:space="preserve">   My Tel:</t>
  </si>
  <si>
    <t>Data</t>
  </si>
  <si>
    <t>2. Three figure exchange number of "001" will be displayed as "1" only etc.</t>
  </si>
  <si>
    <t>3. The scoring sheet accepts 109 contacts which should be sufficient for a 2 hour 40m contest.</t>
  </si>
  <si>
    <t>Scoring Sheet</t>
  </si>
  <si>
    <t>SARL HAMNET 40m Simulated Emergency Contest Scoring Sheet - Operating Instructions</t>
  </si>
  <si>
    <r>
      <t xml:space="preserve">SARL HAMNET </t>
    </r>
    <r>
      <rPr>
        <b/>
        <sz val="12"/>
        <rFont val="Arial"/>
        <family val="2"/>
      </rPr>
      <t>40m Simulated Emergency Contest</t>
    </r>
  </si>
  <si>
    <t xml:space="preserve">        Total points accumulated:</t>
  </si>
  <si>
    <t>Area</t>
  </si>
  <si>
    <t>4. Call areas can be filled in after competition to speed things up during the logging process.</t>
  </si>
  <si>
    <t xml:space="preserve">           Enter number of areas worked:</t>
  </si>
  <si>
    <t>I declare that this station was operated in accordance with the Amateur Radio Regulations, Terms of</t>
  </si>
  <si>
    <t>my Licence and the Rules of the Contest. I accept the decissions of the Contest Committee.</t>
  </si>
  <si>
    <t>Signature…………………………………………</t>
  </si>
  <si>
    <t>Signed at Bloemfontein this 2 day of March 2014</t>
  </si>
  <si>
    <t xml:space="preserve">Name: ……………………………... </t>
  </si>
  <si>
    <t xml:space="preserve">          Competition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</si>
</sst>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yyyy\-mm\-dd;@"/>
    <numFmt numFmtId="166" formatCode="hh:mm:ss;@"/>
  </numFmts>
  <fonts count="1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b/>
      <sz val="11"/>
      <color indexed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17"/>
      <name val="Arial"/>
      <family val="2"/>
    </font>
    <font>
      <b/>
      <sz val="10"/>
      <color indexed="43"/>
      <name val="Arial"/>
      <family val="2"/>
    </font>
    <font>
      <sz val="10"/>
      <color indexed="43"/>
      <name val="Arial"/>
      <family val="2"/>
    </font>
    <font>
      <b/>
      <sz val="10"/>
      <color indexed="8"/>
      <name val="Arial"/>
      <family val="2"/>
    </font>
    <font>
      <b/>
      <i/>
      <sz val="6"/>
      <name val="Arial"/>
      <family val="2"/>
    </font>
    <font>
      <b/>
      <sz val="18"/>
      <color indexed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6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2" xfId="0" applyFill="1" applyBorder="1"/>
    <xf numFmtId="0" fontId="1" fillId="2" borderId="8" xfId="0" applyFont="1" applyFill="1" applyBorder="1" applyAlignment="1">
      <alignment horizontal="right"/>
    </xf>
    <xf numFmtId="0" fontId="0" fillId="2" borderId="9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0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5" xfId="0" applyFont="1" applyFill="1" applyBorder="1"/>
    <xf numFmtId="0" fontId="0" fillId="2" borderId="6" xfId="0" applyFill="1" applyBorder="1" applyAlignment="1">
      <alignment horizontal="center"/>
    </xf>
    <xf numFmtId="0" fontId="4" fillId="2" borderId="9" xfId="0" applyFont="1" applyFill="1" applyBorder="1"/>
    <xf numFmtId="164" fontId="1" fillId="2" borderId="1" xfId="0" applyNumberFormat="1" applyFont="1" applyFill="1" applyBorder="1"/>
    <xf numFmtId="0" fontId="1" fillId="2" borderId="11" xfId="0" applyFont="1" applyFill="1" applyBorder="1"/>
    <xf numFmtId="164" fontId="0" fillId="2" borderId="0" xfId="0" applyNumberFormat="1" applyFill="1" applyBorder="1"/>
    <xf numFmtId="0" fontId="0" fillId="0" borderId="0" xfId="0" applyBorder="1"/>
    <xf numFmtId="164" fontId="0" fillId="2" borderId="6" xfId="0" applyNumberFormat="1" applyFill="1" applyBorder="1"/>
    <xf numFmtId="0" fontId="8" fillId="2" borderId="0" xfId="0" applyFont="1" applyFill="1" applyBorder="1" applyAlignment="1">
      <alignment horizontal="left"/>
    </xf>
    <xf numFmtId="164" fontId="0" fillId="2" borderId="3" xfId="0" applyNumberFormat="1" applyFill="1" applyBorder="1"/>
    <xf numFmtId="0" fontId="0" fillId="2" borderId="5" xfId="0" applyFill="1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3" fillId="0" borderId="0" xfId="0" applyFont="1"/>
    <xf numFmtId="0" fontId="13" fillId="2" borderId="12" xfId="0" applyFont="1" applyFill="1" applyBorder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3" borderId="0" xfId="0" applyFont="1" applyFill="1"/>
    <xf numFmtId="0" fontId="11" fillId="3" borderId="0" xfId="0" applyFont="1" applyFill="1"/>
    <xf numFmtId="0" fontId="10" fillId="3" borderId="0" xfId="0" applyFont="1" applyFill="1" applyBorder="1"/>
    <xf numFmtId="0" fontId="11" fillId="3" borderId="0" xfId="0" applyFont="1" applyFill="1" applyBorder="1"/>
    <xf numFmtId="0" fontId="3" fillId="3" borderId="0" xfId="0" applyFont="1" applyFill="1"/>
    <xf numFmtId="0" fontId="1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5" fillId="4" borderId="13" xfId="0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0" fontId="14" fillId="2" borderId="0" xfId="0" applyFont="1" applyFill="1" applyAlignment="1" applyProtection="1">
      <alignment horizontal="center"/>
    </xf>
    <xf numFmtId="0" fontId="15" fillId="2" borderId="1" xfId="0" applyFont="1" applyFill="1" applyBorder="1" applyAlignment="1" applyProtection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6" fillId="2" borderId="2" xfId="0" applyFont="1" applyFill="1" applyBorder="1"/>
    <xf numFmtId="0" fontId="16" fillId="2" borderId="1" xfId="0" applyFont="1" applyFill="1" applyBorder="1" applyAlignment="1" applyProtection="1">
      <alignment horizontal="center"/>
    </xf>
    <xf numFmtId="0" fontId="16" fillId="2" borderId="1" xfId="0" applyFont="1" applyFill="1" applyBorder="1" applyAlignment="1">
      <alignment horizontal="center"/>
    </xf>
    <xf numFmtId="165" fontId="16" fillId="2" borderId="1" xfId="0" applyNumberFormat="1" applyFont="1" applyFill="1" applyBorder="1" applyAlignment="1">
      <alignment horizontal="center"/>
    </xf>
    <xf numFmtId="0" fontId="17" fillId="2" borderId="0" xfId="0" applyFont="1" applyFill="1"/>
    <xf numFmtId="166" fontId="5" fillId="4" borderId="1" xfId="0" applyNumberFormat="1" applyFont="1" applyFill="1" applyBorder="1" applyAlignment="1" applyProtection="1">
      <alignment horizontal="center"/>
      <protection locked="0"/>
    </xf>
    <xf numFmtId="0" fontId="18" fillId="2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 applyProtection="1">
      <alignment horizontal="center"/>
      <protection locked="0"/>
    </xf>
    <xf numFmtId="164" fontId="1" fillId="2" borderId="0" xfId="0" applyNumberFormat="1" applyFont="1" applyFill="1" applyBorder="1"/>
    <xf numFmtId="0" fontId="1" fillId="0" borderId="0" xfId="0" applyFont="1" applyBorder="1"/>
    <xf numFmtId="0" fontId="6" fillId="2" borderId="0" xfId="0" applyFont="1" applyFill="1" applyBorder="1"/>
    <xf numFmtId="3" fontId="5" fillId="4" borderId="1" xfId="0" applyNumberFormat="1" applyFont="1" applyFill="1" applyBorder="1" applyAlignment="1" applyProtection="1">
      <alignment horizontal="center"/>
      <protection locked="0"/>
    </xf>
    <xf numFmtId="3" fontId="5" fillId="4" borderId="4" xfId="0" quotePrefix="1" applyNumberFormat="1" applyFont="1" applyFill="1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5" fillId="4" borderId="5" xfId="0" applyFont="1" applyFill="1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5" fillId="4" borderId="2" xfId="0" applyFont="1" applyFill="1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protection locked="0"/>
    </xf>
    <xf numFmtId="0" fontId="5" fillId="4" borderId="9" xfId="0" applyFont="1" applyFill="1" applyBorder="1" applyAlignment="1" applyProtection="1">
      <alignment horizontal="left"/>
      <protection locked="0"/>
    </xf>
    <xf numFmtId="0" fontId="0" fillId="0" borderId="3" xfId="0" applyBorder="1" applyAlignment="1" applyProtection="1">
      <protection locked="0"/>
    </xf>
    <xf numFmtId="0" fontId="0" fillId="0" borderId="10" xfId="0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666750</xdr:colOff>
      <xdr:row>0</xdr:row>
      <xdr:rowOff>19050</xdr:rowOff>
    </xdr:from>
    <xdr:to>
      <xdr:col>9</xdr:col>
      <xdr:colOff>552450</xdr:colOff>
      <xdr:row>4</xdr:row>
      <xdr:rowOff>114300</xdr:rowOff>
    </xdr:to>
    <xdr:pic>
      <xdr:nvPicPr>
        <xdr:cNvPr id="1091" name="Picture 1" descr="Hamnet Logo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050"/>
          <a:ext cx="6667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657225</xdr:colOff>
      <xdr:row>153</xdr:row>
      <xdr:rowOff>57150</xdr:rowOff>
    </xdr:from>
    <xdr:to>
      <xdr:col>9</xdr:col>
      <xdr:colOff>495300</xdr:colOff>
      <xdr:row>157</xdr:row>
      <xdr:rowOff>142875</xdr:rowOff>
    </xdr:to>
    <xdr:pic>
      <xdr:nvPicPr>
        <xdr:cNvPr id="1092" name="Picture 2" descr="Hamnet Logo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25003125"/>
          <a:ext cx="6191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</xdr:colOff>
      <xdr:row>152</xdr:row>
      <xdr:rowOff>142875</xdr:rowOff>
    </xdr:from>
    <xdr:to>
      <xdr:col>8</xdr:col>
      <xdr:colOff>571887</xdr:colOff>
      <xdr:row>157</xdr:row>
      <xdr:rowOff>101087</xdr:rowOff>
    </xdr:to>
    <xdr:pic>
      <xdr:nvPicPr>
        <xdr:cNvPr id="1093" name="Picture 3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762500" y="24926925"/>
          <a:ext cx="562362" cy="796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9"/>
  <sheetViews>
    <sheetView tabSelected="1" zoomScaleNormal="100" workbookViewId="0">
      <selection activeCell="D8" sqref="D8"/>
    </sheetView>
  </sheetViews>
  <sheetFormatPr defaultRowHeight="12.75" x14ac:dyDescent="0.2"/>
  <cols>
    <col min="1" max="1" width="6.140625" customWidth="1"/>
    <col min="3" max="3" width="14.140625" customWidth="1"/>
    <col min="4" max="4" width="7.85546875" customWidth="1"/>
    <col min="5" max="5" width="5.28515625" customWidth="1"/>
    <col min="6" max="6" width="5.140625" customWidth="1"/>
    <col min="7" max="7" width="10.7109375" customWidth="1"/>
    <col min="8" max="8" width="12.85546875" customWidth="1"/>
    <col min="9" max="9" width="11.7109375" customWidth="1"/>
    <col min="20" max="20" width="12.140625" customWidth="1"/>
  </cols>
  <sheetData>
    <row r="1" spans="1:20" ht="18" x14ac:dyDescent="0.25">
      <c r="A1" s="2" t="s">
        <v>78</v>
      </c>
      <c r="B1" s="3"/>
      <c r="C1" s="3"/>
      <c r="D1" s="3"/>
      <c r="E1" s="3"/>
      <c r="F1" s="3"/>
      <c r="G1" s="3"/>
      <c r="H1" s="3"/>
      <c r="I1" s="3"/>
      <c r="J1" s="3"/>
      <c r="K1" s="49" t="s">
        <v>77</v>
      </c>
      <c r="L1" s="50"/>
      <c r="M1" s="50"/>
      <c r="N1" s="50"/>
      <c r="O1" s="50"/>
      <c r="P1" s="50"/>
      <c r="Q1" s="50"/>
      <c r="R1" s="50"/>
      <c r="S1" s="50"/>
      <c r="T1" s="50"/>
    </row>
    <row r="2" spans="1:20" x14ac:dyDescent="0.2">
      <c r="A2" s="3"/>
      <c r="B2" s="3"/>
      <c r="C2" s="3"/>
      <c r="D2" s="65" t="s">
        <v>73</v>
      </c>
      <c r="E2" s="3"/>
      <c r="F2" s="64" t="s">
        <v>71</v>
      </c>
      <c r="G2" s="3"/>
      <c r="H2" s="3"/>
      <c r="I2" s="3"/>
      <c r="J2" s="3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 x14ac:dyDescent="0.2">
      <c r="A3" s="5" t="s">
        <v>42</v>
      </c>
      <c r="B3" s="5"/>
      <c r="C3" s="5"/>
      <c r="D3" s="60"/>
      <c r="E3" s="3"/>
      <c r="F3" s="80"/>
      <c r="G3" s="81"/>
      <c r="H3" s="82"/>
      <c r="I3" s="3"/>
      <c r="J3" s="3"/>
      <c r="K3" s="51" t="s">
        <v>50</v>
      </c>
      <c r="L3" s="50"/>
      <c r="M3" s="50"/>
      <c r="N3" s="50"/>
      <c r="O3" s="50"/>
      <c r="P3" s="50"/>
      <c r="Q3" s="50"/>
      <c r="R3" s="50"/>
      <c r="S3" s="50"/>
      <c r="T3" s="50"/>
    </row>
    <row r="4" spans="1:20" x14ac:dyDescent="0.2">
      <c r="A4" s="5" t="s">
        <v>40</v>
      </c>
      <c r="B4" s="5"/>
      <c r="C4" s="5"/>
      <c r="D4" s="60"/>
      <c r="E4" s="3"/>
      <c r="F4" s="83"/>
      <c r="G4" s="84"/>
      <c r="H4" s="85"/>
      <c r="I4" s="3"/>
      <c r="J4" s="3"/>
      <c r="K4" s="52" t="s">
        <v>46</v>
      </c>
      <c r="L4" s="50"/>
      <c r="M4" s="50"/>
      <c r="N4" s="50"/>
      <c r="O4" s="50"/>
      <c r="P4" s="50"/>
      <c r="Q4" s="50"/>
      <c r="R4" s="50"/>
      <c r="S4" s="50"/>
      <c r="T4" s="50"/>
    </row>
    <row r="5" spans="1:20" x14ac:dyDescent="0.2">
      <c r="A5" s="5" t="s">
        <v>32</v>
      </c>
      <c r="B5" s="5"/>
      <c r="C5" s="5"/>
      <c r="D5" s="60"/>
      <c r="E5" s="3"/>
      <c r="F5" s="83"/>
      <c r="G5" s="84"/>
      <c r="H5" s="85"/>
      <c r="I5" s="64" t="s">
        <v>72</v>
      </c>
      <c r="J5" s="3"/>
      <c r="K5" s="52" t="s">
        <v>45</v>
      </c>
      <c r="L5" s="50"/>
      <c r="M5" s="50"/>
      <c r="N5" s="50"/>
      <c r="O5" s="50"/>
      <c r="P5" s="50"/>
      <c r="Q5" s="50"/>
      <c r="R5" s="50"/>
      <c r="S5" s="50"/>
      <c r="T5" s="50"/>
    </row>
    <row r="6" spans="1:20" x14ac:dyDescent="0.2">
      <c r="A6" s="5" t="s">
        <v>41</v>
      </c>
      <c r="B6" s="5"/>
      <c r="C6" s="5"/>
      <c r="D6" s="59"/>
      <c r="E6" s="3"/>
      <c r="F6" s="86"/>
      <c r="G6" s="87"/>
      <c r="H6" s="88"/>
      <c r="I6" s="78"/>
      <c r="J6" s="79"/>
      <c r="K6" s="52" t="s">
        <v>44</v>
      </c>
      <c r="L6" s="50"/>
      <c r="M6" s="50"/>
      <c r="N6" s="50"/>
      <c r="O6" s="50"/>
      <c r="P6" s="50"/>
      <c r="Q6" s="50"/>
      <c r="R6" s="50"/>
      <c r="S6" s="50"/>
      <c r="T6" s="50"/>
    </row>
    <row r="7" spans="1:20" x14ac:dyDescent="0.2">
      <c r="A7" s="3"/>
      <c r="B7" s="3"/>
      <c r="C7" s="3"/>
      <c r="D7" s="4"/>
      <c r="E7" s="3"/>
      <c r="F7" s="6"/>
      <c r="G7" s="3"/>
      <c r="H7" s="3"/>
      <c r="I7" s="3"/>
      <c r="J7" s="3"/>
      <c r="K7" s="52" t="s">
        <v>43</v>
      </c>
      <c r="L7" s="50"/>
      <c r="M7" s="50"/>
      <c r="N7" s="50"/>
      <c r="O7" s="50"/>
      <c r="P7" s="50"/>
      <c r="Q7" s="50"/>
      <c r="R7" s="50"/>
      <c r="S7" s="50"/>
      <c r="T7" s="50"/>
    </row>
    <row r="8" spans="1:20" ht="18" x14ac:dyDescent="0.25">
      <c r="A8" s="2" t="s">
        <v>76</v>
      </c>
      <c r="B8" s="3"/>
      <c r="C8" s="3"/>
      <c r="D8" s="64" t="s">
        <v>88</v>
      </c>
      <c r="E8" s="3"/>
      <c r="F8" s="7"/>
      <c r="G8" s="73"/>
      <c r="H8" s="3"/>
      <c r="I8" s="3"/>
      <c r="J8" s="3"/>
      <c r="K8" s="52" t="s">
        <v>47</v>
      </c>
      <c r="L8" s="50"/>
      <c r="M8" s="50"/>
      <c r="N8" s="50"/>
      <c r="O8" s="50"/>
      <c r="P8" s="50"/>
      <c r="Q8" s="50"/>
      <c r="R8" s="50"/>
      <c r="S8" s="50"/>
      <c r="T8" s="50"/>
    </row>
    <row r="9" spans="1:20" x14ac:dyDescent="0.2">
      <c r="A9" s="3"/>
      <c r="B9" s="3"/>
      <c r="C9" s="3"/>
      <c r="D9" s="3"/>
      <c r="E9" s="3"/>
      <c r="F9" s="7"/>
      <c r="G9" s="3"/>
      <c r="H9" s="3"/>
      <c r="I9" s="3"/>
      <c r="J9" s="3"/>
      <c r="K9" s="52" t="s">
        <v>48</v>
      </c>
      <c r="L9" s="50"/>
      <c r="M9" s="50"/>
      <c r="N9" s="50"/>
      <c r="O9" s="50"/>
      <c r="P9" s="50"/>
      <c r="Q9" s="50"/>
      <c r="R9" s="50"/>
      <c r="S9" s="50"/>
      <c r="T9" s="50"/>
    </row>
    <row r="10" spans="1:20" x14ac:dyDescent="0.2">
      <c r="A10" s="16" t="s">
        <v>12</v>
      </c>
      <c r="B10" s="17"/>
      <c r="C10" s="17"/>
      <c r="D10" s="17"/>
      <c r="E10" s="17"/>
      <c r="F10" s="17"/>
      <c r="G10" s="17"/>
      <c r="H10" s="17"/>
      <c r="I10" s="17"/>
      <c r="J10" s="18"/>
      <c r="K10" s="52" t="s">
        <v>49</v>
      </c>
      <c r="L10" s="50"/>
      <c r="M10" s="50"/>
      <c r="N10" s="50"/>
      <c r="O10" s="50"/>
      <c r="P10" s="50"/>
      <c r="Q10" s="50"/>
      <c r="R10" s="50"/>
      <c r="S10" s="50"/>
      <c r="T10" s="50"/>
    </row>
    <row r="11" spans="1:20" x14ac:dyDescent="0.2">
      <c r="A11" s="66" t="s">
        <v>13</v>
      </c>
      <c r="B11" s="20"/>
      <c r="C11" s="20"/>
      <c r="D11" s="20"/>
      <c r="E11" s="20"/>
      <c r="F11" s="20"/>
      <c r="G11" s="20"/>
      <c r="H11" s="20"/>
      <c r="I11" s="21"/>
      <c r="J11" s="22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0" x14ac:dyDescent="0.2">
      <c r="A12" s="23" t="s">
        <v>8</v>
      </c>
      <c r="B12" s="21"/>
      <c r="C12" s="21"/>
      <c r="D12" s="21"/>
      <c r="E12" s="21" t="s">
        <v>3</v>
      </c>
      <c r="F12" s="21"/>
      <c r="G12" s="21"/>
      <c r="H12" s="21"/>
      <c r="I12" s="21"/>
      <c r="J12" s="24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0" x14ac:dyDescent="0.2">
      <c r="A13" s="23" t="s">
        <v>9</v>
      </c>
      <c r="B13" s="21"/>
      <c r="C13" s="21"/>
      <c r="D13" s="21"/>
      <c r="E13" s="21" t="s">
        <v>4</v>
      </c>
      <c r="F13" s="21"/>
      <c r="G13" s="21"/>
      <c r="H13" s="21"/>
      <c r="I13" s="21"/>
      <c r="J13" s="24"/>
      <c r="K13" s="53" t="s">
        <v>51</v>
      </c>
      <c r="L13" s="50"/>
      <c r="M13" s="50"/>
      <c r="N13" s="50"/>
      <c r="O13" s="50"/>
      <c r="P13" s="50"/>
      <c r="Q13" s="50"/>
      <c r="R13" s="50"/>
      <c r="S13" s="50"/>
      <c r="T13" s="50"/>
    </row>
    <row r="14" spans="1:20" x14ac:dyDescent="0.2">
      <c r="A14" s="23" t="s">
        <v>10</v>
      </c>
      <c r="B14" s="21"/>
      <c r="C14" s="21"/>
      <c r="D14" s="21"/>
      <c r="E14" s="21" t="s">
        <v>6</v>
      </c>
      <c r="F14" s="21"/>
      <c r="G14" s="21"/>
      <c r="H14" s="21"/>
      <c r="I14" s="21"/>
      <c r="J14" s="24"/>
      <c r="K14" s="54" t="s">
        <v>66</v>
      </c>
      <c r="L14" s="50"/>
      <c r="M14" s="50"/>
      <c r="N14" s="50"/>
      <c r="O14" s="50"/>
      <c r="P14" s="50"/>
      <c r="Q14" s="50"/>
      <c r="R14" s="50"/>
      <c r="S14" s="50"/>
      <c r="T14" s="50"/>
    </row>
    <row r="15" spans="1:20" x14ac:dyDescent="0.2">
      <c r="A15" s="23" t="s">
        <v>11</v>
      </c>
      <c r="B15" s="21"/>
      <c r="C15" s="21"/>
      <c r="D15" s="21"/>
      <c r="E15" s="21" t="s">
        <v>5</v>
      </c>
      <c r="F15" s="21"/>
      <c r="G15" s="21"/>
      <c r="H15" s="21"/>
      <c r="I15" s="21"/>
      <c r="J15" s="22"/>
      <c r="K15" s="54" t="s">
        <v>52</v>
      </c>
      <c r="L15" s="50"/>
      <c r="M15" s="50"/>
      <c r="N15" s="50"/>
      <c r="O15" s="50"/>
      <c r="P15" s="50"/>
      <c r="Q15" s="50"/>
      <c r="R15" s="50"/>
      <c r="S15" s="50"/>
      <c r="T15" s="50"/>
    </row>
    <row r="16" spans="1:20" x14ac:dyDescent="0.2">
      <c r="A16" s="25"/>
      <c r="B16" s="26"/>
      <c r="C16" s="26"/>
      <c r="D16" s="26"/>
      <c r="E16" s="26" t="s">
        <v>7</v>
      </c>
      <c r="F16" s="26"/>
      <c r="G16" s="26"/>
      <c r="H16" s="26"/>
      <c r="I16" s="26"/>
      <c r="J16" s="27"/>
      <c r="K16" s="54" t="s">
        <v>57</v>
      </c>
      <c r="L16" s="50"/>
      <c r="M16" s="50"/>
      <c r="N16" s="50"/>
      <c r="O16" s="50"/>
      <c r="P16" s="50"/>
      <c r="Q16" s="50"/>
      <c r="R16" s="50"/>
      <c r="S16" s="50"/>
      <c r="T16" s="50"/>
    </row>
    <row r="17" spans="1:20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54" t="s">
        <v>53</v>
      </c>
      <c r="L17" s="50"/>
      <c r="M17" s="50"/>
      <c r="N17" s="50"/>
      <c r="O17" s="50"/>
      <c r="P17" s="50"/>
      <c r="Q17" s="50"/>
      <c r="R17" s="50"/>
      <c r="S17" s="50"/>
      <c r="T17" s="50"/>
    </row>
    <row r="18" spans="1:20" x14ac:dyDescent="0.2">
      <c r="A18" s="16" t="s">
        <v>14</v>
      </c>
      <c r="B18" s="17"/>
      <c r="C18" s="17"/>
      <c r="D18" s="17"/>
      <c r="E18" s="17"/>
      <c r="F18" s="17"/>
      <c r="G18" s="17"/>
      <c r="H18" s="17"/>
      <c r="I18" s="17"/>
      <c r="J18" s="18"/>
      <c r="K18" s="54" t="s">
        <v>54</v>
      </c>
      <c r="L18" s="50"/>
      <c r="M18" s="50"/>
      <c r="N18" s="50"/>
      <c r="O18" s="50"/>
      <c r="P18" s="50"/>
      <c r="Q18" s="50"/>
      <c r="R18" s="50"/>
      <c r="S18" s="50"/>
      <c r="T18" s="50"/>
    </row>
    <row r="19" spans="1:20" x14ac:dyDescent="0.2">
      <c r="A19" s="66" t="s">
        <v>15</v>
      </c>
      <c r="B19" s="21"/>
      <c r="C19" s="21"/>
      <c r="D19" s="21"/>
      <c r="E19" s="21"/>
      <c r="F19" s="21"/>
      <c r="G19" s="21"/>
      <c r="H19" s="21"/>
      <c r="I19" s="21"/>
      <c r="J19" s="22"/>
      <c r="K19" s="50"/>
      <c r="L19" s="50"/>
      <c r="M19" s="50"/>
      <c r="N19" s="50"/>
      <c r="O19" s="50"/>
      <c r="P19" s="50"/>
      <c r="Q19" s="50"/>
      <c r="R19" s="50"/>
      <c r="S19" s="50"/>
      <c r="T19" s="50"/>
    </row>
    <row r="20" spans="1:20" x14ac:dyDescent="0.2">
      <c r="A20" s="23" t="s">
        <v>16</v>
      </c>
      <c r="B20" s="21"/>
      <c r="C20" s="21"/>
      <c r="D20" s="21"/>
      <c r="E20" s="21"/>
      <c r="F20" s="28">
        <v>3</v>
      </c>
      <c r="G20" s="21"/>
      <c r="H20" s="21"/>
      <c r="I20" s="21"/>
      <c r="J20" s="22"/>
      <c r="K20" s="54" t="s">
        <v>67</v>
      </c>
      <c r="L20" s="50"/>
      <c r="M20" s="50"/>
      <c r="N20" s="50"/>
      <c r="O20" s="50"/>
      <c r="P20" s="50"/>
      <c r="Q20" s="50"/>
      <c r="R20" s="50"/>
      <c r="S20" s="50"/>
      <c r="T20" s="50"/>
    </row>
    <row r="21" spans="1:20" x14ac:dyDescent="0.2">
      <c r="A21" s="23" t="s">
        <v>17</v>
      </c>
      <c r="B21" s="21"/>
      <c r="C21" s="21"/>
      <c r="D21" s="21"/>
      <c r="E21" s="21"/>
      <c r="F21" s="28">
        <v>4</v>
      </c>
      <c r="G21" s="21"/>
      <c r="H21" s="21"/>
      <c r="I21" s="21"/>
      <c r="J21" s="22"/>
      <c r="K21" s="54" t="s">
        <v>69</v>
      </c>
      <c r="L21" s="50"/>
      <c r="M21" s="50"/>
      <c r="N21" s="50"/>
      <c r="O21" s="50"/>
      <c r="P21" s="50"/>
      <c r="Q21" s="50"/>
      <c r="R21" s="50"/>
      <c r="S21" s="50"/>
      <c r="T21" s="50"/>
    </row>
    <row r="22" spans="1:20" x14ac:dyDescent="0.2">
      <c r="A22" s="23" t="s">
        <v>18</v>
      </c>
      <c r="B22" s="21"/>
      <c r="C22" s="21"/>
      <c r="D22" s="21"/>
      <c r="E22" s="21"/>
      <c r="F22" s="28">
        <v>1</v>
      </c>
      <c r="G22" s="21"/>
      <c r="H22" s="21"/>
      <c r="I22" s="21"/>
      <c r="J22" s="22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x14ac:dyDescent="0.2">
      <c r="A23" s="25" t="s">
        <v>19</v>
      </c>
      <c r="B23" s="26"/>
      <c r="C23" s="26"/>
      <c r="D23" s="26"/>
      <c r="E23" s="26"/>
      <c r="F23" s="29">
        <v>2</v>
      </c>
      <c r="G23" s="26"/>
      <c r="H23" s="26"/>
      <c r="I23" s="26"/>
      <c r="J23" s="27"/>
      <c r="K23" s="50"/>
      <c r="L23" s="50"/>
      <c r="M23" s="50"/>
      <c r="N23" s="50"/>
      <c r="O23" s="50"/>
      <c r="P23" s="50"/>
      <c r="Q23" s="50"/>
      <c r="R23" s="50"/>
      <c r="S23" s="50"/>
      <c r="T23" s="50"/>
    </row>
    <row r="24" spans="1:20" x14ac:dyDescent="0.2">
      <c r="A24" s="3"/>
      <c r="B24" s="3"/>
      <c r="C24" s="3"/>
      <c r="D24" s="3"/>
      <c r="E24" s="3"/>
      <c r="F24" s="6"/>
      <c r="G24" s="3"/>
      <c r="H24" s="3"/>
      <c r="I24" s="3"/>
      <c r="J24" s="3"/>
      <c r="K24" s="51" t="s">
        <v>58</v>
      </c>
      <c r="L24" s="50"/>
      <c r="M24" s="50"/>
      <c r="N24" s="50"/>
      <c r="O24" s="50"/>
      <c r="P24" s="50"/>
      <c r="Q24" s="50"/>
      <c r="R24" s="50"/>
      <c r="S24" s="50"/>
      <c r="T24" s="50"/>
    </row>
    <row r="25" spans="1:20" x14ac:dyDescent="0.2">
      <c r="A25" s="16" t="s">
        <v>20</v>
      </c>
      <c r="B25" s="17"/>
      <c r="C25" s="17"/>
      <c r="D25" s="17"/>
      <c r="E25" s="17"/>
      <c r="F25" s="30"/>
      <c r="G25" s="17"/>
      <c r="H25" s="17"/>
      <c r="I25" s="17"/>
      <c r="J25" s="18"/>
      <c r="K25" s="55" t="s">
        <v>60</v>
      </c>
      <c r="L25" s="55"/>
      <c r="M25" s="55"/>
      <c r="N25" s="55"/>
      <c r="O25" s="55"/>
      <c r="P25" s="50"/>
      <c r="Q25" s="50"/>
      <c r="R25" s="50"/>
      <c r="S25" s="50"/>
      <c r="T25" s="50"/>
    </row>
    <row r="26" spans="1:20" x14ac:dyDescent="0.2">
      <c r="A26" s="23" t="s">
        <v>21</v>
      </c>
      <c r="B26" s="28">
        <v>1</v>
      </c>
      <c r="C26" s="28" t="s">
        <v>27</v>
      </c>
      <c r="D26" s="21"/>
      <c r="E26" s="28">
        <v>7</v>
      </c>
      <c r="F26" s="3"/>
      <c r="G26" s="21"/>
      <c r="H26" s="21"/>
      <c r="I26" s="21"/>
      <c r="J26" s="22"/>
      <c r="K26" s="55" t="s">
        <v>61</v>
      </c>
      <c r="L26" s="55"/>
      <c r="M26" s="55"/>
      <c r="N26" s="55"/>
      <c r="O26" s="55"/>
      <c r="P26" s="50"/>
      <c r="Q26" s="50"/>
      <c r="R26" s="50"/>
      <c r="S26" s="50"/>
      <c r="T26" s="50"/>
    </row>
    <row r="27" spans="1:20" x14ac:dyDescent="0.2">
      <c r="A27" s="23" t="s">
        <v>22</v>
      </c>
      <c r="B27" s="28">
        <v>2</v>
      </c>
      <c r="C27" s="28" t="s">
        <v>28</v>
      </c>
      <c r="D27" s="21"/>
      <c r="E27" s="28">
        <v>8</v>
      </c>
      <c r="F27" s="3"/>
      <c r="G27" s="21"/>
      <c r="H27" s="21"/>
      <c r="I27" s="21"/>
      <c r="J27" s="22"/>
      <c r="K27" s="55" t="s">
        <v>62</v>
      </c>
      <c r="L27" s="55"/>
      <c r="M27" s="55"/>
      <c r="N27" s="55"/>
      <c r="O27" s="55"/>
      <c r="P27" s="50"/>
      <c r="Q27" s="50"/>
      <c r="R27" s="50"/>
      <c r="S27" s="50"/>
      <c r="T27" s="50"/>
    </row>
    <row r="28" spans="1:20" x14ac:dyDescent="0.2">
      <c r="A28" s="23" t="s">
        <v>23</v>
      </c>
      <c r="B28" s="28">
        <v>3</v>
      </c>
      <c r="C28" s="21"/>
      <c r="D28" s="21"/>
      <c r="E28" s="21"/>
      <c r="F28" s="28"/>
      <c r="G28" s="21"/>
      <c r="H28" s="21"/>
      <c r="I28" s="21"/>
      <c r="J28" s="22"/>
      <c r="K28" s="55" t="s">
        <v>63</v>
      </c>
      <c r="L28" s="55"/>
      <c r="M28" s="55"/>
      <c r="N28" s="55"/>
      <c r="O28" s="55"/>
      <c r="P28" s="50"/>
      <c r="Q28" s="50"/>
      <c r="R28" s="50"/>
      <c r="S28" s="50"/>
      <c r="T28" s="50"/>
    </row>
    <row r="29" spans="1:20" x14ac:dyDescent="0.2">
      <c r="A29" s="23" t="s">
        <v>24</v>
      </c>
      <c r="B29" s="28">
        <v>4</v>
      </c>
      <c r="C29" s="21"/>
      <c r="D29" s="21"/>
      <c r="E29" s="21"/>
      <c r="F29" s="28"/>
      <c r="G29" s="21"/>
      <c r="H29" s="21"/>
      <c r="I29" s="21"/>
      <c r="J29" s="22"/>
      <c r="K29" s="55"/>
      <c r="L29" s="55"/>
      <c r="M29" s="55"/>
      <c r="N29" s="55"/>
      <c r="O29" s="55"/>
      <c r="P29" s="50"/>
      <c r="Q29" s="50"/>
      <c r="R29" s="50"/>
      <c r="S29" s="50"/>
      <c r="T29" s="50"/>
    </row>
    <row r="30" spans="1:20" x14ac:dyDescent="0.2">
      <c r="A30" s="23" t="s">
        <v>25</v>
      </c>
      <c r="B30" s="28">
        <v>5</v>
      </c>
      <c r="C30" s="21"/>
      <c r="D30" s="21"/>
      <c r="E30" s="21"/>
      <c r="F30" s="28"/>
      <c r="G30" s="21"/>
      <c r="H30" s="21"/>
      <c r="I30" s="21"/>
      <c r="J30" s="22"/>
      <c r="K30" s="55"/>
      <c r="L30" s="55"/>
      <c r="M30" s="55"/>
      <c r="N30" s="55"/>
      <c r="O30" s="55"/>
      <c r="P30" s="50"/>
      <c r="Q30" s="50"/>
      <c r="R30" s="50"/>
      <c r="S30" s="50"/>
      <c r="T30" s="50"/>
    </row>
    <row r="31" spans="1:20" x14ac:dyDescent="0.2">
      <c r="A31" s="25" t="s">
        <v>26</v>
      </c>
      <c r="B31" s="29">
        <v>6</v>
      </c>
      <c r="C31" s="26"/>
      <c r="D31" s="26"/>
      <c r="E31" s="26"/>
      <c r="F31" s="29"/>
      <c r="G31" s="26"/>
      <c r="H31" s="26"/>
      <c r="I31" s="26"/>
      <c r="J31" s="27"/>
      <c r="K31" s="51" t="s">
        <v>64</v>
      </c>
      <c r="L31" s="55"/>
      <c r="M31" s="55"/>
      <c r="N31" s="55"/>
      <c r="O31" s="55"/>
      <c r="P31" s="50"/>
      <c r="Q31" s="50"/>
      <c r="R31" s="50"/>
      <c r="S31" s="50"/>
      <c r="T31" s="50"/>
    </row>
    <row r="32" spans="1:20" x14ac:dyDescent="0.2">
      <c r="A32" s="3"/>
      <c r="B32" s="8"/>
      <c r="C32" s="3"/>
      <c r="D32" s="3"/>
      <c r="E32" s="3"/>
      <c r="F32" s="6"/>
      <c r="G32" s="3"/>
      <c r="H32" s="3"/>
      <c r="I32" s="3"/>
      <c r="J32" s="3"/>
      <c r="K32" s="55" t="s">
        <v>65</v>
      </c>
      <c r="L32" s="55"/>
      <c r="M32" s="55"/>
      <c r="N32" s="55"/>
      <c r="O32" s="55"/>
      <c r="P32" s="50"/>
      <c r="Q32" s="50"/>
      <c r="R32" s="50"/>
      <c r="S32" s="50"/>
      <c r="T32" s="50"/>
    </row>
    <row r="33" spans="1:20" x14ac:dyDescent="0.2">
      <c r="A33" s="33" t="s">
        <v>68</v>
      </c>
      <c r="B33" s="34"/>
      <c r="C33" s="17"/>
      <c r="D33" s="17"/>
      <c r="E33" s="17"/>
      <c r="F33" s="30"/>
      <c r="G33" s="17"/>
      <c r="H33" s="17"/>
      <c r="I33" s="17"/>
      <c r="J33" s="18"/>
      <c r="K33" s="55" t="s">
        <v>74</v>
      </c>
      <c r="L33" s="55"/>
      <c r="M33" s="55"/>
      <c r="N33" s="55"/>
      <c r="O33" s="55"/>
      <c r="P33" s="50"/>
      <c r="Q33" s="50"/>
      <c r="R33" s="50"/>
      <c r="S33" s="50"/>
      <c r="T33" s="50"/>
    </row>
    <row r="34" spans="1:20" x14ac:dyDescent="0.2">
      <c r="A34" s="19" t="s">
        <v>30</v>
      </c>
      <c r="B34" s="31"/>
      <c r="C34" s="21"/>
      <c r="D34" s="21"/>
      <c r="E34" s="21"/>
      <c r="F34" s="28"/>
      <c r="G34" s="21"/>
      <c r="H34" s="21"/>
      <c r="I34" s="21"/>
      <c r="J34" s="22"/>
      <c r="K34" s="58" t="s">
        <v>75</v>
      </c>
      <c r="L34" s="55"/>
      <c r="M34" s="55"/>
      <c r="N34" s="55"/>
      <c r="O34" s="55"/>
      <c r="P34" s="50"/>
      <c r="Q34" s="50"/>
      <c r="R34" s="50"/>
      <c r="S34" s="50"/>
      <c r="T34" s="50"/>
    </row>
    <row r="35" spans="1:20" x14ac:dyDescent="0.2">
      <c r="A35" s="35" t="s">
        <v>31</v>
      </c>
      <c r="B35" s="32"/>
      <c r="C35" s="26"/>
      <c r="D35" s="26"/>
      <c r="E35" s="26"/>
      <c r="F35" s="29"/>
      <c r="G35" s="26"/>
      <c r="H35" s="26"/>
      <c r="I35" s="26"/>
      <c r="J35" s="27"/>
      <c r="K35" s="55" t="s">
        <v>81</v>
      </c>
      <c r="L35" s="55"/>
      <c r="M35" s="55"/>
      <c r="N35" s="55"/>
      <c r="O35" s="55"/>
      <c r="P35" s="50"/>
      <c r="Q35" s="50"/>
      <c r="R35" s="50"/>
      <c r="S35" s="50"/>
      <c r="T35" s="50"/>
    </row>
    <row r="36" spans="1:20" x14ac:dyDescent="0.2">
      <c r="A36" s="3"/>
      <c r="B36" s="3"/>
      <c r="C36" s="3"/>
      <c r="D36" s="3"/>
      <c r="E36" s="3"/>
      <c r="F36" s="3"/>
      <c r="G36" s="3"/>
      <c r="H36" s="9"/>
      <c r="I36" s="5" t="s">
        <v>70</v>
      </c>
      <c r="J36" s="3"/>
      <c r="K36" s="50"/>
      <c r="L36" s="55"/>
      <c r="M36" s="55"/>
      <c r="N36" s="55"/>
      <c r="O36" s="55"/>
      <c r="P36" s="50"/>
      <c r="Q36" s="50"/>
      <c r="R36" s="50"/>
      <c r="S36" s="50"/>
      <c r="T36" s="50"/>
    </row>
    <row r="37" spans="1:20" s="1" customFormat="1" x14ac:dyDescent="0.2">
      <c r="A37" s="9" t="s">
        <v>0</v>
      </c>
      <c r="B37" s="9" t="s">
        <v>1</v>
      </c>
      <c r="C37" s="9" t="s">
        <v>33</v>
      </c>
      <c r="D37" s="9" t="s">
        <v>2</v>
      </c>
      <c r="E37" s="9" t="s">
        <v>80</v>
      </c>
      <c r="F37" s="62" t="s">
        <v>55</v>
      </c>
      <c r="G37" s="9" t="s">
        <v>35</v>
      </c>
      <c r="H37" s="9" t="s">
        <v>34</v>
      </c>
      <c r="I37" s="9" t="s">
        <v>56</v>
      </c>
      <c r="J37" s="62" t="s">
        <v>55</v>
      </c>
      <c r="K37" s="57"/>
      <c r="L37" s="56"/>
      <c r="M37" s="56"/>
      <c r="N37" s="56"/>
      <c r="O37" s="56"/>
      <c r="P37" s="57"/>
      <c r="Q37" s="57"/>
      <c r="R37" s="57"/>
      <c r="S37" s="57"/>
      <c r="T37" s="57"/>
    </row>
    <row r="38" spans="1:20" x14ac:dyDescent="0.2">
      <c r="A38" s="11">
        <v>1</v>
      </c>
      <c r="B38" s="60"/>
      <c r="C38" s="77"/>
      <c r="D38" s="67" t="str">
        <f>IF(C38="","",IF(C38&gt;800,"d",IF(C38&gt;600,"c",IF(C38&gt;400,"b",IF(C38&gt;200,"a","d")))))</f>
        <v/>
      </c>
      <c r="E38" s="60"/>
      <c r="F38" s="63" t="str">
        <f>IF(D38="d",2, IF(D38="c",4, IF(D38="b",4, IF(D38="a",4,""))))</f>
        <v/>
      </c>
      <c r="G38" s="68" t="str">
        <f>IF(B38="","", (+F38+J38))</f>
        <v/>
      </c>
      <c r="H38" s="69" t="str">
        <f>IF(E38&gt;0,+$G$8, "")</f>
        <v/>
      </c>
      <c r="I38" s="71"/>
      <c r="J38" s="63">
        <f>IF(E38=$D$6,-1,0)</f>
        <v>-1</v>
      </c>
      <c r="K38" s="47"/>
      <c r="L38" s="47"/>
      <c r="M38" s="47"/>
      <c r="N38" s="47"/>
      <c r="O38" s="47"/>
    </row>
    <row r="39" spans="1:20" x14ac:dyDescent="0.2">
      <c r="A39" s="11">
        <f>+A38+1</f>
        <v>2</v>
      </c>
      <c r="B39" s="60"/>
      <c r="C39" s="77"/>
      <c r="D39" s="67" t="str">
        <f>IF(C39="","",IF(C39&gt;800,"d",IF(C39&gt;600,"c",IF(C39&gt;400,"b",IF(C39&gt;200,"a","d")))))</f>
        <v/>
      </c>
      <c r="E39" s="60"/>
      <c r="F39" s="63" t="str">
        <f t="shared" ref="F39:F102" si="0">IF(D39="d",2, IF(D39="c",4, IF(D39="b",4, IF(D39="a",4,""))))</f>
        <v/>
      </c>
      <c r="G39" s="68" t="str">
        <f t="shared" ref="G39:G102" si="1">IF(B39="","", (+F39+J39))</f>
        <v/>
      </c>
      <c r="H39" s="69" t="str">
        <f t="shared" ref="H39:H102" si="2">IF(E39&gt;0,+$G$8, "")</f>
        <v/>
      </c>
      <c r="I39" s="71"/>
      <c r="J39" s="63">
        <f t="shared" ref="J39:J102" si="3">IF(E39=$D$6,-1,0)</f>
        <v>-1</v>
      </c>
      <c r="K39" s="47"/>
      <c r="L39" s="47"/>
      <c r="M39" s="47"/>
      <c r="N39" s="47"/>
      <c r="O39" s="47"/>
    </row>
    <row r="40" spans="1:20" x14ac:dyDescent="0.2">
      <c r="A40" s="11">
        <f t="shared" ref="A40:A103" si="4">+A39+1</f>
        <v>3</v>
      </c>
      <c r="B40" s="60"/>
      <c r="C40" s="77"/>
      <c r="D40" s="67" t="str">
        <f>IF(C40="","",IF(C40&gt;800,"d",IF(C40&gt;600,"c",IF(C40&gt;400,"b",IF(C40&gt;200,"a","d")))))</f>
        <v/>
      </c>
      <c r="E40" s="60"/>
      <c r="F40" s="63" t="str">
        <f t="shared" si="0"/>
        <v/>
      </c>
      <c r="G40" s="68" t="str">
        <f t="shared" si="1"/>
        <v/>
      </c>
      <c r="H40" s="69" t="str">
        <f t="shared" si="2"/>
        <v/>
      </c>
      <c r="I40" s="71"/>
      <c r="J40" s="63">
        <f t="shared" si="3"/>
        <v>-1</v>
      </c>
      <c r="K40" s="47"/>
      <c r="L40" s="47"/>
      <c r="M40" s="47"/>
      <c r="N40" s="47"/>
      <c r="O40" s="47"/>
    </row>
    <row r="41" spans="1:20" x14ac:dyDescent="0.2">
      <c r="A41" s="11">
        <f t="shared" si="4"/>
        <v>4</v>
      </c>
      <c r="B41" s="60"/>
      <c r="C41" s="77"/>
      <c r="D41" s="67" t="str">
        <f>IF(C41="","",IF(C41&gt;800,"d",IF(C41&gt;600,"c",IF(C41&gt;400,"b",IF(C41&gt;200,"a","d")))))</f>
        <v/>
      </c>
      <c r="E41" s="60"/>
      <c r="F41" s="63" t="str">
        <f t="shared" si="0"/>
        <v/>
      </c>
      <c r="G41" s="68" t="str">
        <f t="shared" si="1"/>
        <v/>
      </c>
      <c r="H41" s="69" t="str">
        <f t="shared" si="2"/>
        <v/>
      </c>
      <c r="I41" s="71"/>
      <c r="J41" s="63">
        <f t="shared" si="3"/>
        <v>-1</v>
      </c>
      <c r="K41" s="47"/>
      <c r="L41" s="47"/>
      <c r="M41" s="47"/>
      <c r="N41" s="47"/>
      <c r="O41" s="47"/>
    </row>
    <row r="42" spans="1:20" x14ac:dyDescent="0.2">
      <c r="A42" s="11">
        <f t="shared" si="4"/>
        <v>5</v>
      </c>
      <c r="B42" s="60"/>
      <c r="C42" s="60"/>
      <c r="D42" s="67" t="str">
        <f t="shared" ref="D42:D48" si="5">IF(C42="","",IF(C42&gt;800,"d",IF(C42&gt;600,"c",IF(C42&gt;400,"b",IF(C42&gt;200,"a","d")))))</f>
        <v/>
      </c>
      <c r="E42" s="60"/>
      <c r="F42" s="63" t="str">
        <f t="shared" si="0"/>
        <v/>
      </c>
      <c r="G42" s="68" t="str">
        <f t="shared" si="1"/>
        <v/>
      </c>
      <c r="H42" s="69" t="str">
        <f t="shared" si="2"/>
        <v/>
      </c>
      <c r="I42" s="71"/>
      <c r="J42" s="63">
        <f t="shared" si="3"/>
        <v>-1</v>
      </c>
      <c r="K42" s="47"/>
      <c r="L42" s="47"/>
      <c r="M42" s="47"/>
      <c r="N42" s="47"/>
      <c r="O42" s="47"/>
    </row>
    <row r="43" spans="1:20" x14ac:dyDescent="0.2">
      <c r="A43" s="11">
        <f t="shared" si="4"/>
        <v>6</v>
      </c>
      <c r="B43" s="60"/>
      <c r="C43" s="60"/>
      <c r="D43" s="67" t="str">
        <f t="shared" si="5"/>
        <v/>
      </c>
      <c r="E43" s="60"/>
      <c r="F43" s="63" t="str">
        <f t="shared" si="0"/>
        <v/>
      </c>
      <c r="G43" s="68" t="str">
        <f t="shared" si="1"/>
        <v/>
      </c>
      <c r="H43" s="69" t="str">
        <f t="shared" si="2"/>
        <v/>
      </c>
      <c r="I43" s="71"/>
      <c r="J43" s="63">
        <f t="shared" si="3"/>
        <v>-1</v>
      </c>
      <c r="K43" s="47"/>
      <c r="L43" s="47"/>
      <c r="M43" s="47"/>
      <c r="N43" s="47"/>
      <c r="O43" s="47"/>
    </row>
    <row r="44" spans="1:20" x14ac:dyDescent="0.2">
      <c r="A44" s="11">
        <f t="shared" si="4"/>
        <v>7</v>
      </c>
      <c r="B44" s="60"/>
      <c r="C44" s="60"/>
      <c r="D44" s="67" t="str">
        <f t="shared" si="5"/>
        <v/>
      </c>
      <c r="E44" s="60"/>
      <c r="F44" s="63" t="str">
        <f t="shared" si="0"/>
        <v/>
      </c>
      <c r="G44" s="68" t="str">
        <f t="shared" si="1"/>
        <v/>
      </c>
      <c r="H44" s="69" t="str">
        <f t="shared" si="2"/>
        <v/>
      </c>
      <c r="I44" s="71"/>
      <c r="J44" s="63">
        <f t="shared" si="3"/>
        <v>-1</v>
      </c>
      <c r="K44" s="47"/>
      <c r="L44" s="47"/>
      <c r="M44" s="47"/>
      <c r="N44" s="47"/>
      <c r="O44" s="47"/>
    </row>
    <row r="45" spans="1:20" x14ac:dyDescent="0.2">
      <c r="A45" s="11">
        <f t="shared" si="4"/>
        <v>8</v>
      </c>
      <c r="B45" s="60"/>
      <c r="C45" s="60"/>
      <c r="D45" s="67" t="str">
        <f t="shared" si="5"/>
        <v/>
      </c>
      <c r="E45" s="60"/>
      <c r="F45" s="63" t="str">
        <f t="shared" si="0"/>
        <v/>
      </c>
      <c r="G45" s="68" t="str">
        <f t="shared" si="1"/>
        <v/>
      </c>
      <c r="H45" s="69" t="str">
        <f t="shared" si="2"/>
        <v/>
      </c>
      <c r="I45" s="71"/>
      <c r="J45" s="63">
        <f t="shared" si="3"/>
        <v>-1</v>
      </c>
    </row>
    <row r="46" spans="1:20" x14ac:dyDescent="0.2">
      <c r="A46" s="11">
        <f t="shared" si="4"/>
        <v>9</v>
      </c>
      <c r="B46" s="60"/>
      <c r="C46" s="60"/>
      <c r="D46" s="67" t="str">
        <f t="shared" si="5"/>
        <v/>
      </c>
      <c r="E46" s="60"/>
      <c r="F46" s="63" t="str">
        <f t="shared" si="0"/>
        <v/>
      </c>
      <c r="G46" s="68" t="str">
        <f t="shared" si="1"/>
        <v/>
      </c>
      <c r="H46" s="69" t="str">
        <f t="shared" si="2"/>
        <v/>
      </c>
      <c r="I46" s="71"/>
      <c r="J46" s="63">
        <f t="shared" si="3"/>
        <v>-1</v>
      </c>
    </row>
    <row r="47" spans="1:20" x14ac:dyDescent="0.2">
      <c r="A47" s="11">
        <f t="shared" si="4"/>
        <v>10</v>
      </c>
      <c r="B47" s="60"/>
      <c r="C47" s="60"/>
      <c r="D47" s="67" t="str">
        <f t="shared" si="5"/>
        <v/>
      </c>
      <c r="E47" s="60"/>
      <c r="F47" s="63" t="str">
        <f t="shared" si="0"/>
        <v/>
      </c>
      <c r="G47" s="68" t="str">
        <f t="shared" si="1"/>
        <v/>
      </c>
      <c r="H47" s="69" t="str">
        <f t="shared" si="2"/>
        <v/>
      </c>
      <c r="I47" s="71"/>
      <c r="J47" s="63">
        <f t="shared" si="3"/>
        <v>-1</v>
      </c>
    </row>
    <row r="48" spans="1:20" x14ac:dyDescent="0.2">
      <c r="A48" s="11">
        <f t="shared" si="4"/>
        <v>11</v>
      </c>
      <c r="B48" s="60"/>
      <c r="C48" s="60"/>
      <c r="D48" s="67" t="str">
        <f t="shared" si="5"/>
        <v/>
      </c>
      <c r="E48" s="60"/>
      <c r="F48" s="63" t="str">
        <f t="shared" si="0"/>
        <v/>
      </c>
      <c r="G48" s="68" t="str">
        <f t="shared" si="1"/>
        <v/>
      </c>
      <c r="H48" s="69" t="str">
        <f t="shared" si="2"/>
        <v/>
      </c>
      <c r="I48" s="71"/>
      <c r="J48" s="63">
        <f t="shared" si="3"/>
        <v>-1</v>
      </c>
    </row>
    <row r="49" spans="1:10" x14ac:dyDescent="0.2">
      <c r="A49" s="11">
        <f t="shared" si="4"/>
        <v>12</v>
      </c>
      <c r="B49" s="60"/>
      <c r="C49" s="60"/>
      <c r="D49" s="67" t="str">
        <f>IF(C49="","",IF(C49&gt;800,"d",IF(C49&gt;600,"c",IF(C49&gt;400,"b",IF(C49&gt;200,"a","d")))))</f>
        <v/>
      </c>
      <c r="E49" s="60"/>
      <c r="F49" s="63" t="str">
        <f t="shared" si="0"/>
        <v/>
      </c>
      <c r="G49" s="68" t="str">
        <f t="shared" si="1"/>
        <v/>
      </c>
      <c r="H49" s="69" t="str">
        <f t="shared" si="2"/>
        <v/>
      </c>
      <c r="I49" s="71"/>
      <c r="J49" s="63">
        <f t="shared" si="3"/>
        <v>-1</v>
      </c>
    </row>
    <row r="50" spans="1:10" x14ac:dyDescent="0.2">
      <c r="A50" s="11">
        <f t="shared" si="4"/>
        <v>13</v>
      </c>
      <c r="B50" s="60"/>
      <c r="C50" s="60"/>
      <c r="D50" s="67" t="str">
        <f t="shared" ref="D50:D113" si="6">IF(C50="","",IF(C50&gt;800,"d",IF(C50&gt;600,"c",IF(C50&gt;400,"b",IF(C50&gt;200,"a","d")))))</f>
        <v/>
      </c>
      <c r="E50" s="60"/>
      <c r="F50" s="63" t="str">
        <f t="shared" si="0"/>
        <v/>
      </c>
      <c r="G50" s="68" t="str">
        <f t="shared" si="1"/>
        <v/>
      </c>
      <c r="H50" s="69" t="str">
        <f t="shared" si="2"/>
        <v/>
      </c>
      <c r="I50" s="71"/>
      <c r="J50" s="63">
        <f t="shared" si="3"/>
        <v>-1</v>
      </c>
    </row>
    <row r="51" spans="1:10" x14ac:dyDescent="0.2">
      <c r="A51" s="11">
        <f t="shared" si="4"/>
        <v>14</v>
      </c>
      <c r="B51" s="60"/>
      <c r="C51" s="60"/>
      <c r="D51" s="67" t="str">
        <f t="shared" si="6"/>
        <v/>
      </c>
      <c r="E51" s="60"/>
      <c r="F51" s="63" t="str">
        <f t="shared" si="0"/>
        <v/>
      </c>
      <c r="G51" s="68" t="str">
        <f t="shared" si="1"/>
        <v/>
      </c>
      <c r="H51" s="69" t="str">
        <f t="shared" si="2"/>
        <v/>
      </c>
      <c r="I51" s="71"/>
      <c r="J51" s="63">
        <f t="shared" si="3"/>
        <v>-1</v>
      </c>
    </row>
    <row r="52" spans="1:10" x14ac:dyDescent="0.2">
      <c r="A52" s="11">
        <f t="shared" si="4"/>
        <v>15</v>
      </c>
      <c r="B52" s="60"/>
      <c r="C52" s="60"/>
      <c r="D52" s="67" t="str">
        <f t="shared" si="6"/>
        <v/>
      </c>
      <c r="E52" s="60"/>
      <c r="F52" s="63" t="str">
        <f t="shared" si="0"/>
        <v/>
      </c>
      <c r="G52" s="68" t="str">
        <f t="shared" si="1"/>
        <v/>
      </c>
      <c r="H52" s="69" t="str">
        <f t="shared" si="2"/>
        <v/>
      </c>
      <c r="I52" s="71"/>
      <c r="J52" s="63">
        <f t="shared" si="3"/>
        <v>-1</v>
      </c>
    </row>
    <row r="53" spans="1:10" x14ac:dyDescent="0.2">
      <c r="A53" s="11">
        <f t="shared" si="4"/>
        <v>16</v>
      </c>
      <c r="B53" s="60"/>
      <c r="C53" s="60"/>
      <c r="D53" s="67" t="str">
        <f t="shared" si="6"/>
        <v/>
      </c>
      <c r="E53" s="60"/>
      <c r="F53" s="63" t="str">
        <f t="shared" si="0"/>
        <v/>
      </c>
      <c r="G53" s="68" t="str">
        <f t="shared" si="1"/>
        <v/>
      </c>
      <c r="H53" s="69" t="str">
        <f t="shared" si="2"/>
        <v/>
      </c>
      <c r="I53" s="71"/>
      <c r="J53" s="63">
        <f t="shared" si="3"/>
        <v>-1</v>
      </c>
    </row>
    <row r="54" spans="1:10" x14ac:dyDescent="0.2">
      <c r="A54" s="11">
        <f t="shared" si="4"/>
        <v>17</v>
      </c>
      <c r="B54" s="60"/>
      <c r="C54" s="60"/>
      <c r="D54" s="67" t="str">
        <f t="shared" si="6"/>
        <v/>
      </c>
      <c r="E54" s="60"/>
      <c r="F54" s="63" t="str">
        <f t="shared" si="0"/>
        <v/>
      </c>
      <c r="G54" s="68" t="str">
        <f t="shared" si="1"/>
        <v/>
      </c>
      <c r="H54" s="69" t="str">
        <f t="shared" si="2"/>
        <v/>
      </c>
      <c r="I54" s="71"/>
      <c r="J54" s="63">
        <f t="shared" si="3"/>
        <v>-1</v>
      </c>
    </row>
    <row r="55" spans="1:10" x14ac:dyDescent="0.2">
      <c r="A55" s="11">
        <f t="shared" si="4"/>
        <v>18</v>
      </c>
      <c r="B55" s="60"/>
      <c r="C55" s="60"/>
      <c r="D55" s="67" t="str">
        <f t="shared" si="6"/>
        <v/>
      </c>
      <c r="E55" s="60"/>
      <c r="F55" s="63" t="str">
        <f t="shared" si="0"/>
        <v/>
      </c>
      <c r="G55" s="68" t="str">
        <f t="shared" si="1"/>
        <v/>
      </c>
      <c r="H55" s="69" t="str">
        <f t="shared" si="2"/>
        <v/>
      </c>
      <c r="I55" s="71"/>
      <c r="J55" s="63">
        <f t="shared" si="3"/>
        <v>-1</v>
      </c>
    </row>
    <row r="56" spans="1:10" x14ac:dyDescent="0.2">
      <c r="A56" s="11">
        <f t="shared" si="4"/>
        <v>19</v>
      </c>
      <c r="B56" s="60"/>
      <c r="C56" s="60"/>
      <c r="D56" s="67" t="str">
        <f t="shared" si="6"/>
        <v/>
      </c>
      <c r="E56" s="60"/>
      <c r="F56" s="63" t="str">
        <f t="shared" si="0"/>
        <v/>
      </c>
      <c r="G56" s="68" t="str">
        <f t="shared" si="1"/>
        <v/>
      </c>
      <c r="H56" s="69" t="str">
        <f t="shared" si="2"/>
        <v/>
      </c>
      <c r="I56" s="71"/>
      <c r="J56" s="63">
        <f t="shared" si="3"/>
        <v>-1</v>
      </c>
    </row>
    <row r="57" spans="1:10" x14ac:dyDescent="0.2">
      <c r="A57" s="11">
        <f t="shared" si="4"/>
        <v>20</v>
      </c>
      <c r="B57" s="60"/>
      <c r="C57" s="60"/>
      <c r="D57" s="67" t="str">
        <f t="shared" si="6"/>
        <v/>
      </c>
      <c r="E57" s="60"/>
      <c r="F57" s="63" t="str">
        <f t="shared" si="0"/>
        <v/>
      </c>
      <c r="G57" s="68" t="str">
        <f t="shared" si="1"/>
        <v/>
      </c>
      <c r="H57" s="69" t="str">
        <f t="shared" si="2"/>
        <v/>
      </c>
      <c r="I57" s="71"/>
      <c r="J57" s="63">
        <f t="shared" si="3"/>
        <v>-1</v>
      </c>
    </row>
    <row r="58" spans="1:10" x14ac:dyDescent="0.2">
      <c r="A58" s="11">
        <f t="shared" si="4"/>
        <v>21</v>
      </c>
      <c r="B58" s="60"/>
      <c r="C58" s="60"/>
      <c r="D58" s="67" t="str">
        <f t="shared" si="6"/>
        <v/>
      </c>
      <c r="E58" s="60"/>
      <c r="F58" s="63" t="str">
        <f t="shared" si="0"/>
        <v/>
      </c>
      <c r="G58" s="68" t="str">
        <f t="shared" si="1"/>
        <v/>
      </c>
      <c r="H58" s="69" t="str">
        <f t="shared" si="2"/>
        <v/>
      </c>
      <c r="I58" s="71"/>
      <c r="J58" s="63">
        <f t="shared" si="3"/>
        <v>-1</v>
      </c>
    </row>
    <row r="59" spans="1:10" x14ac:dyDescent="0.2">
      <c r="A59" s="11">
        <f t="shared" si="4"/>
        <v>22</v>
      </c>
      <c r="B59" s="60"/>
      <c r="C59" s="60"/>
      <c r="D59" s="67" t="str">
        <f t="shared" si="6"/>
        <v/>
      </c>
      <c r="E59" s="60"/>
      <c r="F59" s="63" t="str">
        <f t="shared" si="0"/>
        <v/>
      </c>
      <c r="G59" s="68" t="str">
        <f t="shared" si="1"/>
        <v/>
      </c>
      <c r="H59" s="69" t="str">
        <f t="shared" si="2"/>
        <v/>
      </c>
      <c r="I59" s="71"/>
      <c r="J59" s="63">
        <f t="shared" si="3"/>
        <v>-1</v>
      </c>
    </row>
    <row r="60" spans="1:10" x14ac:dyDescent="0.2">
      <c r="A60" s="11">
        <f t="shared" si="4"/>
        <v>23</v>
      </c>
      <c r="B60" s="60"/>
      <c r="C60" s="60"/>
      <c r="D60" s="67" t="str">
        <f t="shared" si="6"/>
        <v/>
      </c>
      <c r="E60" s="60"/>
      <c r="F60" s="63" t="str">
        <f t="shared" si="0"/>
        <v/>
      </c>
      <c r="G60" s="68" t="str">
        <f t="shared" si="1"/>
        <v/>
      </c>
      <c r="H60" s="69" t="str">
        <f t="shared" si="2"/>
        <v/>
      </c>
      <c r="I60" s="71"/>
      <c r="J60" s="63">
        <f t="shared" si="3"/>
        <v>-1</v>
      </c>
    </row>
    <row r="61" spans="1:10" x14ac:dyDescent="0.2">
      <c r="A61" s="11">
        <f t="shared" si="4"/>
        <v>24</v>
      </c>
      <c r="B61" s="60"/>
      <c r="C61" s="60"/>
      <c r="D61" s="67" t="str">
        <f t="shared" si="6"/>
        <v/>
      </c>
      <c r="E61" s="60"/>
      <c r="F61" s="63" t="str">
        <f t="shared" si="0"/>
        <v/>
      </c>
      <c r="G61" s="68" t="str">
        <f t="shared" si="1"/>
        <v/>
      </c>
      <c r="H61" s="69" t="str">
        <f t="shared" si="2"/>
        <v/>
      </c>
      <c r="I61" s="71"/>
      <c r="J61" s="63">
        <f t="shared" si="3"/>
        <v>-1</v>
      </c>
    </row>
    <row r="62" spans="1:10" x14ac:dyDescent="0.2">
      <c r="A62" s="11">
        <f t="shared" si="4"/>
        <v>25</v>
      </c>
      <c r="B62" s="60"/>
      <c r="C62" s="60"/>
      <c r="D62" s="67" t="str">
        <f t="shared" si="6"/>
        <v/>
      </c>
      <c r="E62" s="60"/>
      <c r="F62" s="63" t="str">
        <f t="shared" si="0"/>
        <v/>
      </c>
      <c r="G62" s="68" t="str">
        <f t="shared" si="1"/>
        <v/>
      </c>
      <c r="H62" s="69" t="str">
        <f t="shared" si="2"/>
        <v/>
      </c>
      <c r="I62" s="71"/>
      <c r="J62" s="63">
        <f t="shared" si="3"/>
        <v>-1</v>
      </c>
    </row>
    <row r="63" spans="1:10" x14ac:dyDescent="0.2">
      <c r="A63" s="11">
        <f t="shared" si="4"/>
        <v>26</v>
      </c>
      <c r="B63" s="60"/>
      <c r="C63" s="60"/>
      <c r="D63" s="67" t="str">
        <f t="shared" si="6"/>
        <v/>
      </c>
      <c r="E63" s="60"/>
      <c r="F63" s="63" t="str">
        <f t="shared" si="0"/>
        <v/>
      </c>
      <c r="G63" s="68" t="str">
        <f t="shared" si="1"/>
        <v/>
      </c>
      <c r="H63" s="69" t="str">
        <f t="shared" si="2"/>
        <v/>
      </c>
      <c r="I63" s="71"/>
      <c r="J63" s="63">
        <f t="shared" si="3"/>
        <v>-1</v>
      </c>
    </row>
    <row r="64" spans="1:10" x14ac:dyDescent="0.2">
      <c r="A64" s="11">
        <f t="shared" si="4"/>
        <v>27</v>
      </c>
      <c r="B64" s="60"/>
      <c r="C64" s="60"/>
      <c r="D64" s="67" t="str">
        <f t="shared" si="6"/>
        <v/>
      </c>
      <c r="E64" s="60"/>
      <c r="F64" s="63" t="str">
        <f t="shared" si="0"/>
        <v/>
      </c>
      <c r="G64" s="68" t="str">
        <f t="shared" si="1"/>
        <v/>
      </c>
      <c r="H64" s="69" t="str">
        <f t="shared" si="2"/>
        <v/>
      </c>
      <c r="I64" s="71"/>
      <c r="J64" s="63">
        <f t="shared" si="3"/>
        <v>-1</v>
      </c>
    </row>
    <row r="65" spans="1:10" x14ac:dyDescent="0.2">
      <c r="A65" s="11">
        <f t="shared" si="4"/>
        <v>28</v>
      </c>
      <c r="B65" s="60"/>
      <c r="C65" s="60"/>
      <c r="D65" s="67" t="str">
        <f t="shared" si="6"/>
        <v/>
      </c>
      <c r="E65" s="60"/>
      <c r="F65" s="63" t="str">
        <f t="shared" si="0"/>
        <v/>
      </c>
      <c r="G65" s="68" t="str">
        <f t="shared" si="1"/>
        <v/>
      </c>
      <c r="H65" s="69" t="str">
        <f t="shared" si="2"/>
        <v/>
      </c>
      <c r="I65" s="71"/>
      <c r="J65" s="63">
        <f t="shared" si="3"/>
        <v>-1</v>
      </c>
    </row>
    <row r="66" spans="1:10" x14ac:dyDescent="0.2">
      <c r="A66" s="11">
        <f t="shared" si="4"/>
        <v>29</v>
      </c>
      <c r="B66" s="60"/>
      <c r="C66" s="60"/>
      <c r="D66" s="67" t="str">
        <f t="shared" si="6"/>
        <v/>
      </c>
      <c r="E66" s="60"/>
      <c r="F66" s="63" t="str">
        <f t="shared" si="0"/>
        <v/>
      </c>
      <c r="G66" s="68" t="str">
        <f t="shared" si="1"/>
        <v/>
      </c>
      <c r="H66" s="69" t="str">
        <f t="shared" si="2"/>
        <v/>
      </c>
      <c r="I66" s="71"/>
      <c r="J66" s="63">
        <f t="shared" si="3"/>
        <v>-1</v>
      </c>
    </row>
    <row r="67" spans="1:10" x14ac:dyDescent="0.2">
      <c r="A67" s="11">
        <f t="shared" si="4"/>
        <v>30</v>
      </c>
      <c r="B67" s="60"/>
      <c r="C67" s="60"/>
      <c r="D67" s="67" t="str">
        <f t="shared" si="6"/>
        <v/>
      </c>
      <c r="E67" s="60"/>
      <c r="F67" s="63" t="str">
        <f t="shared" si="0"/>
        <v/>
      </c>
      <c r="G67" s="68" t="str">
        <f t="shared" si="1"/>
        <v/>
      </c>
      <c r="H67" s="69" t="str">
        <f t="shared" si="2"/>
        <v/>
      </c>
      <c r="I67" s="71"/>
      <c r="J67" s="63">
        <f t="shared" si="3"/>
        <v>-1</v>
      </c>
    </row>
    <row r="68" spans="1:10" x14ac:dyDescent="0.2">
      <c r="A68" s="11">
        <f t="shared" si="4"/>
        <v>31</v>
      </c>
      <c r="B68" s="60"/>
      <c r="C68" s="60"/>
      <c r="D68" s="67" t="str">
        <f t="shared" si="6"/>
        <v/>
      </c>
      <c r="E68" s="60"/>
      <c r="F68" s="63" t="str">
        <f t="shared" si="0"/>
        <v/>
      </c>
      <c r="G68" s="68" t="str">
        <f t="shared" si="1"/>
        <v/>
      </c>
      <c r="H68" s="69" t="str">
        <f t="shared" si="2"/>
        <v/>
      </c>
      <c r="I68" s="71"/>
      <c r="J68" s="63">
        <f t="shared" si="3"/>
        <v>-1</v>
      </c>
    </row>
    <row r="69" spans="1:10" x14ac:dyDescent="0.2">
      <c r="A69" s="11">
        <f t="shared" si="4"/>
        <v>32</v>
      </c>
      <c r="B69" s="60"/>
      <c r="C69" s="60"/>
      <c r="D69" s="67" t="str">
        <f t="shared" si="6"/>
        <v/>
      </c>
      <c r="E69" s="60"/>
      <c r="F69" s="63" t="str">
        <f t="shared" si="0"/>
        <v/>
      </c>
      <c r="G69" s="68" t="str">
        <f t="shared" si="1"/>
        <v/>
      </c>
      <c r="H69" s="69" t="str">
        <f t="shared" si="2"/>
        <v/>
      </c>
      <c r="I69" s="71"/>
      <c r="J69" s="63">
        <f t="shared" si="3"/>
        <v>-1</v>
      </c>
    </row>
    <row r="70" spans="1:10" x14ac:dyDescent="0.2">
      <c r="A70" s="11">
        <f t="shared" si="4"/>
        <v>33</v>
      </c>
      <c r="B70" s="60"/>
      <c r="C70" s="60"/>
      <c r="D70" s="67" t="str">
        <f t="shared" si="6"/>
        <v/>
      </c>
      <c r="E70" s="60"/>
      <c r="F70" s="63" t="str">
        <f t="shared" si="0"/>
        <v/>
      </c>
      <c r="G70" s="68" t="str">
        <f t="shared" si="1"/>
        <v/>
      </c>
      <c r="H70" s="69" t="str">
        <f t="shared" si="2"/>
        <v/>
      </c>
      <c r="I70" s="71"/>
      <c r="J70" s="63">
        <f t="shared" si="3"/>
        <v>-1</v>
      </c>
    </row>
    <row r="71" spans="1:10" x14ac:dyDescent="0.2">
      <c r="A71" s="11">
        <f t="shared" si="4"/>
        <v>34</v>
      </c>
      <c r="B71" s="60"/>
      <c r="C71" s="60"/>
      <c r="D71" s="67" t="str">
        <f t="shared" si="6"/>
        <v/>
      </c>
      <c r="E71" s="60"/>
      <c r="F71" s="63" t="str">
        <f t="shared" si="0"/>
        <v/>
      </c>
      <c r="G71" s="68" t="str">
        <f t="shared" si="1"/>
        <v/>
      </c>
      <c r="H71" s="69" t="str">
        <f t="shared" si="2"/>
        <v/>
      </c>
      <c r="I71" s="71"/>
      <c r="J71" s="63">
        <f t="shared" si="3"/>
        <v>-1</v>
      </c>
    </row>
    <row r="72" spans="1:10" x14ac:dyDescent="0.2">
      <c r="A72" s="11">
        <f t="shared" si="4"/>
        <v>35</v>
      </c>
      <c r="B72" s="60"/>
      <c r="C72" s="60"/>
      <c r="D72" s="67" t="str">
        <f t="shared" si="6"/>
        <v/>
      </c>
      <c r="E72" s="60"/>
      <c r="F72" s="63" t="str">
        <f t="shared" si="0"/>
        <v/>
      </c>
      <c r="G72" s="68" t="str">
        <f t="shared" si="1"/>
        <v/>
      </c>
      <c r="H72" s="69" t="str">
        <f t="shared" si="2"/>
        <v/>
      </c>
      <c r="I72" s="71"/>
      <c r="J72" s="63">
        <f t="shared" si="3"/>
        <v>-1</v>
      </c>
    </row>
    <row r="73" spans="1:10" x14ac:dyDescent="0.2">
      <c r="A73" s="11">
        <f t="shared" si="4"/>
        <v>36</v>
      </c>
      <c r="B73" s="60"/>
      <c r="C73" s="60"/>
      <c r="D73" s="67" t="str">
        <f t="shared" si="6"/>
        <v/>
      </c>
      <c r="E73" s="60"/>
      <c r="F73" s="63" t="str">
        <f t="shared" si="0"/>
        <v/>
      </c>
      <c r="G73" s="68" t="str">
        <f t="shared" si="1"/>
        <v/>
      </c>
      <c r="H73" s="69" t="str">
        <f t="shared" si="2"/>
        <v/>
      </c>
      <c r="I73" s="71"/>
      <c r="J73" s="63">
        <f t="shared" si="3"/>
        <v>-1</v>
      </c>
    </row>
    <row r="74" spans="1:10" x14ac:dyDescent="0.2">
      <c r="A74" s="11">
        <f t="shared" si="4"/>
        <v>37</v>
      </c>
      <c r="B74" s="60"/>
      <c r="C74" s="60"/>
      <c r="D74" s="67" t="str">
        <f t="shared" si="6"/>
        <v/>
      </c>
      <c r="E74" s="60"/>
      <c r="F74" s="63" t="str">
        <f t="shared" si="0"/>
        <v/>
      </c>
      <c r="G74" s="68" t="str">
        <f t="shared" si="1"/>
        <v/>
      </c>
      <c r="H74" s="69" t="str">
        <f t="shared" si="2"/>
        <v/>
      </c>
      <c r="I74" s="71"/>
      <c r="J74" s="63">
        <f t="shared" si="3"/>
        <v>-1</v>
      </c>
    </row>
    <row r="75" spans="1:10" x14ac:dyDescent="0.2">
      <c r="A75" s="11">
        <f t="shared" si="4"/>
        <v>38</v>
      </c>
      <c r="B75" s="60"/>
      <c r="C75" s="60"/>
      <c r="D75" s="67" t="str">
        <f t="shared" si="6"/>
        <v/>
      </c>
      <c r="E75" s="60"/>
      <c r="F75" s="63" t="str">
        <f t="shared" si="0"/>
        <v/>
      </c>
      <c r="G75" s="68" t="str">
        <f t="shared" si="1"/>
        <v/>
      </c>
      <c r="H75" s="69" t="str">
        <f t="shared" si="2"/>
        <v/>
      </c>
      <c r="I75" s="71"/>
      <c r="J75" s="63">
        <f t="shared" si="3"/>
        <v>-1</v>
      </c>
    </row>
    <row r="76" spans="1:10" x14ac:dyDescent="0.2">
      <c r="A76" s="11">
        <f t="shared" si="4"/>
        <v>39</v>
      </c>
      <c r="B76" s="60"/>
      <c r="C76" s="60"/>
      <c r="D76" s="67" t="str">
        <f t="shared" si="6"/>
        <v/>
      </c>
      <c r="E76" s="60"/>
      <c r="F76" s="63" t="str">
        <f t="shared" si="0"/>
        <v/>
      </c>
      <c r="G76" s="68" t="str">
        <f t="shared" si="1"/>
        <v/>
      </c>
      <c r="H76" s="69" t="str">
        <f t="shared" si="2"/>
        <v/>
      </c>
      <c r="I76" s="71"/>
      <c r="J76" s="63">
        <f t="shared" si="3"/>
        <v>-1</v>
      </c>
    </row>
    <row r="77" spans="1:10" x14ac:dyDescent="0.2">
      <c r="A77" s="11">
        <f t="shared" si="4"/>
        <v>40</v>
      </c>
      <c r="B77" s="60"/>
      <c r="C77" s="60"/>
      <c r="D77" s="67" t="str">
        <f t="shared" si="6"/>
        <v/>
      </c>
      <c r="E77" s="60"/>
      <c r="F77" s="63" t="str">
        <f t="shared" si="0"/>
        <v/>
      </c>
      <c r="G77" s="68" t="str">
        <f t="shared" si="1"/>
        <v/>
      </c>
      <c r="H77" s="69" t="str">
        <f t="shared" si="2"/>
        <v/>
      </c>
      <c r="I77" s="71"/>
      <c r="J77" s="63">
        <f t="shared" si="3"/>
        <v>-1</v>
      </c>
    </row>
    <row r="78" spans="1:10" x14ac:dyDescent="0.2">
      <c r="A78" s="11">
        <f t="shared" si="4"/>
        <v>41</v>
      </c>
      <c r="B78" s="60"/>
      <c r="C78" s="60"/>
      <c r="D78" s="67" t="str">
        <f t="shared" si="6"/>
        <v/>
      </c>
      <c r="E78" s="60"/>
      <c r="F78" s="63" t="str">
        <f t="shared" si="0"/>
        <v/>
      </c>
      <c r="G78" s="68" t="str">
        <f t="shared" si="1"/>
        <v/>
      </c>
      <c r="H78" s="69" t="str">
        <f t="shared" si="2"/>
        <v/>
      </c>
      <c r="I78" s="71"/>
      <c r="J78" s="63">
        <f t="shared" si="3"/>
        <v>-1</v>
      </c>
    </row>
    <row r="79" spans="1:10" x14ac:dyDescent="0.2">
      <c r="A79" s="11">
        <f t="shared" si="4"/>
        <v>42</v>
      </c>
      <c r="B79" s="60"/>
      <c r="C79" s="60"/>
      <c r="D79" s="67" t="str">
        <f t="shared" si="6"/>
        <v/>
      </c>
      <c r="E79" s="60"/>
      <c r="F79" s="63" t="str">
        <f t="shared" si="0"/>
        <v/>
      </c>
      <c r="G79" s="68" t="str">
        <f t="shared" si="1"/>
        <v/>
      </c>
      <c r="H79" s="69" t="str">
        <f t="shared" si="2"/>
        <v/>
      </c>
      <c r="I79" s="71"/>
      <c r="J79" s="63">
        <f t="shared" si="3"/>
        <v>-1</v>
      </c>
    </row>
    <row r="80" spans="1:10" x14ac:dyDescent="0.2">
      <c r="A80" s="11">
        <f t="shared" si="4"/>
        <v>43</v>
      </c>
      <c r="B80" s="60"/>
      <c r="C80" s="60"/>
      <c r="D80" s="67" t="str">
        <f t="shared" si="6"/>
        <v/>
      </c>
      <c r="E80" s="60"/>
      <c r="F80" s="63" t="str">
        <f t="shared" si="0"/>
        <v/>
      </c>
      <c r="G80" s="68" t="str">
        <f t="shared" si="1"/>
        <v/>
      </c>
      <c r="H80" s="69" t="str">
        <f t="shared" si="2"/>
        <v/>
      </c>
      <c r="I80" s="71"/>
      <c r="J80" s="63">
        <f t="shared" si="3"/>
        <v>-1</v>
      </c>
    </row>
    <row r="81" spans="1:10" x14ac:dyDescent="0.2">
      <c r="A81" s="11">
        <f t="shared" si="4"/>
        <v>44</v>
      </c>
      <c r="B81" s="60"/>
      <c r="C81" s="60"/>
      <c r="D81" s="67" t="str">
        <f t="shared" si="6"/>
        <v/>
      </c>
      <c r="E81" s="60"/>
      <c r="F81" s="63" t="str">
        <f t="shared" si="0"/>
        <v/>
      </c>
      <c r="G81" s="68" t="str">
        <f t="shared" si="1"/>
        <v/>
      </c>
      <c r="H81" s="69" t="str">
        <f t="shared" si="2"/>
        <v/>
      </c>
      <c r="I81" s="71"/>
      <c r="J81" s="63">
        <f t="shared" si="3"/>
        <v>-1</v>
      </c>
    </row>
    <row r="82" spans="1:10" x14ac:dyDescent="0.2">
      <c r="A82" s="11">
        <f t="shared" si="4"/>
        <v>45</v>
      </c>
      <c r="B82" s="60"/>
      <c r="C82" s="60"/>
      <c r="D82" s="67" t="str">
        <f t="shared" si="6"/>
        <v/>
      </c>
      <c r="E82" s="60"/>
      <c r="F82" s="63" t="str">
        <f t="shared" si="0"/>
        <v/>
      </c>
      <c r="G82" s="68" t="str">
        <f t="shared" si="1"/>
        <v/>
      </c>
      <c r="H82" s="69" t="str">
        <f t="shared" si="2"/>
        <v/>
      </c>
      <c r="I82" s="71"/>
      <c r="J82" s="63">
        <f t="shared" si="3"/>
        <v>-1</v>
      </c>
    </row>
    <row r="83" spans="1:10" x14ac:dyDescent="0.2">
      <c r="A83" s="11">
        <f t="shared" si="4"/>
        <v>46</v>
      </c>
      <c r="B83" s="60"/>
      <c r="C83" s="60"/>
      <c r="D83" s="67" t="str">
        <f t="shared" si="6"/>
        <v/>
      </c>
      <c r="E83" s="60"/>
      <c r="F83" s="63" t="str">
        <f t="shared" si="0"/>
        <v/>
      </c>
      <c r="G83" s="68" t="str">
        <f t="shared" si="1"/>
        <v/>
      </c>
      <c r="H83" s="69" t="str">
        <f t="shared" si="2"/>
        <v/>
      </c>
      <c r="I83" s="71"/>
      <c r="J83" s="63">
        <f t="shared" si="3"/>
        <v>-1</v>
      </c>
    </row>
    <row r="84" spans="1:10" x14ac:dyDescent="0.2">
      <c r="A84" s="11">
        <f t="shared" si="4"/>
        <v>47</v>
      </c>
      <c r="B84" s="60"/>
      <c r="C84" s="60"/>
      <c r="D84" s="67" t="str">
        <f t="shared" si="6"/>
        <v/>
      </c>
      <c r="E84" s="60"/>
      <c r="F84" s="63" t="str">
        <f t="shared" si="0"/>
        <v/>
      </c>
      <c r="G84" s="68" t="str">
        <f t="shared" si="1"/>
        <v/>
      </c>
      <c r="H84" s="69" t="str">
        <f t="shared" si="2"/>
        <v/>
      </c>
      <c r="I84" s="71"/>
      <c r="J84" s="63">
        <f t="shared" si="3"/>
        <v>-1</v>
      </c>
    </row>
    <row r="85" spans="1:10" x14ac:dyDescent="0.2">
      <c r="A85" s="11">
        <f t="shared" si="4"/>
        <v>48</v>
      </c>
      <c r="B85" s="60"/>
      <c r="C85" s="60"/>
      <c r="D85" s="67" t="str">
        <f t="shared" si="6"/>
        <v/>
      </c>
      <c r="E85" s="60"/>
      <c r="F85" s="63" t="str">
        <f t="shared" si="0"/>
        <v/>
      </c>
      <c r="G85" s="68" t="str">
        <f t="shared" si="1"/>
        <v/>
      </c>
      <c r="H85" s="69" t="str">
        <f t="shared" si="2"/>
        <v/>
      </c>
      <c r="I85" s="71"/>
      <c r="J85" s="63">
        <f t="shared" si="3"/>
        <v>-1</v>
      </c>
    </row>
    <row r="86" spans="1:10" x14ac:dyDescent="0.2">
      <c r="A86" s="11">
        <f t="shared" si="4"/>
        <v>49</v>
      </c>
      <c r="B86" s="60"/>
      <c r="C86" s="60"/>
      <c r="D86" s="67" t="str">
        <f t="shared" si="6"/>
        <v/>
      </c>
      <c r="E86" s="60"/>
      <c r="F86" s="63" t="str">
        <f t="shared" si="0"/>
        <v/>
      </c>
      <c r="G86" s="68" t="str">
        <f t="shared" si="1"/>
        <v/>
      </c>
      <c r="H86" s="69" t="str">
        <f t="shared" si="2"/>
        <v/>
      </c>
      <c r="I86" s="71"/>
      <c r="J86" s="63">
        <f t="shared" si="3"/>
        <v>-1</v>
      </c>
    </row>
    <row r="87" spans="1:10" x14ac:dyDescent="0.2">
      <c r="A87" s="11">
        <f t="shared" si="4"/>
        <v>50</v>
      </c>
      <c r="B87" s="60"/>
      <c r="C87" s="60"/>
      <c r="D87" s="67" t="str">
        <f t="shared" si="6"/>
        <v/>
      </c>
      <c r="E87" s="60"/>
      <c r="F87" s="63" t="str">
        <f t="shared" si="0"/>
        <v/>
      </c>
      <c r="G87" s="68" t="str">
        <f t="shared" si="1"/>
        <v/>
      </c>
      <c r="H87" s="69" t="str">
        <f t="shared" si="2"/>
        <v/>
      </c>
      <c r="I87" s="71"/>
      <c r="J87" s="63">
        <f t="shared" si="3"/>
        <v>-1</v>
      </c>
    </row>
    <row r="88" spans="1:10" x14ac:dyDescent="0.2">
      <c r="A88" s="11">
        <f t="shared" si="4"/>
        <v>51</v>
      </c>
      <c r="B88" s="60"/>
      <c r="C88" s="60"/>
      <c r="D88" s="67" t="str">
        <f t="shared" si="6"/>
        <v/>
      </c>
      <c r="E88" s="60"/>
      <c r="F88" s="63" t="str">
        <f t="shared" si="0"/>
        <v/>
      </c>
      <c r="G88" s="68" t="str">
        <f t="shared" si="1"/>
        <v/>
      </c>
      <c r="H88" s="69" t="str">
        <f t="shared" si="2"/>
        <v/>
      </c>
      <c r="I88" s="71"/>
      <c r="J88" s="63">
        <f t="shared" si="3"/>
        <v>-1</v>
      </c>
    </row>
    <row r="89" spans="1:10" x14ac:dyDescent="0.2">
      <c r="A89" s="11">
        <f t="shared" si="4"/>
        <v>52</v>
      </c>
      <c r="B89" s="60"/>
      <c r="C89" s="60"/>
      <c r="D89" s="67" t="str">
        <f t="shared" si="6"/>
        <v/>
      </c>
      <c r="E89" s="60"/>
      <c r="F89" s="63" t="str">
        <f t="shared" si="0"/>
        <v/>
      </c>
      <c r="G89" s="68" t="str">
        <f t="shared" si="1"/>
        <v/>
      </c>
      <c r="H89" s="69" t="str">
        <f t="shared" si="2"/>
        <v/>
      </c>
      <c r="I89" s="71"/>
      <c r="J89" s="63">
        <f t="shared" si="3"/>
        <v>-1</v>
      </c>
    </row>
    <row r="90" spans="1:10" x14ac:dyDescent="0.2">
      <c r="A90" s="11">
        <f t="shared" si="4"/>
        <v>53</v>
      </c>
      <c r="B90" s="60"/>
      <c r="C90" s="60"/>
      <c r="D90" s="67" t="str">
        <f t="shared" si="6"/>
        <v/>
      </c>
      <c r="E90" s="60"/>
      <c r="F90" s="63" t="str">
        <f t="shared" si="0"/>
        <v/>
      </c>
      <c r="G90" s="68" t="str">
        <f t="shared" si="1"/>
        <v/>
      </c>
      <c r="H90" s="69" t="str">
        <f t="shared" si="2"/>
        <v/>
      </c>
      <c r="I90" s="71"/>
      <c r="J90" s="63">
        <f t="shared" si="3"/>
        <v>-1</v>
      </c>
    </row>
    <row r="91" spans="1:10" x14ac:dyDescent="0.2">
      <c r="A91" s="11">
        <f t="shared" si="4"/>
        <v>54</v>
      </c>
      <c r="B91" s="60"/>
      <c r="C91" s="60"/>
      <c r="D91" s="67" t="str">
        <f t="shared" si="6"/>
        <v/>
      </c>
      <c r="E91" s="60"/>
      <c r="F91" s="63" t="str">
        <f t="shared" si="0"/>
        <v/>
      </c>
      <c r="G91" s="68" t="str">
        <f t="shared" si="1"/>
        <v/>
      </c>
      <c r="H91" s="69" t="str">
        <f t="shared" si="2"/>
        <v/>
      </c>
      <c r="I91" s="71"/>
      <c r="J91" s="63">
        <f t="shared" si="3"/>
        <v>-1</v>
      </c>
    </row>
    <row r="92" spans="1:10" x14ac:dyDescent="0.2">
      <c r="A92" s="11">
        <f t="shared" si="4"/>
        <v>55</v>
      </c>
      <c r="B92" s="60"/>
      <c r="C92" s="60"/>
      <c r="D92" s="67" t="str">
        <f t="shared" si="6"/>
        <v/>
      </c>
      <c r="E92" s="60"/>
      <c r="F92" s="63" t="str">
        <f t="shared" si="0"/>
        <v/>
      </c>
      <c r="G92" s="68" t="str">
        <f t="shared" si="1"/>
        <v/>
      </c>
      <c r="H92" s="69" t="str">
        <f t="shared" si="2"/>
        <v/>
      </c>
      <c r="I92" s="71"/>
      <c r="J92" s="63">
        <f t="shared" si="3"/>
        <v>-1</v>
      </c>
    </row>
    <row r="93" spans="1:10" x14ac:dyDescent="0.2">
      <c r="A93" s="11">
        <f t="shared" si="4"/>
        <v>56</v>
      </c>
      <c r="B93" s="60"/>
      <c r="C93" s="60"/>
      <c r="D93" s="67" t="str">
        <f t="shared" si="6"/>
        <v/>
      </c>
      <c r="E93" s="60"/>
      <c r="F93" s="63" t="str">
        <f t="shared" si="0"/>
        <v/>
      </c>
      <c r="G93" s="68" t="str">
        <f t="shared" si="1"/>
        <v/>
      </c>
      <c r="H93" s="69" t="str">
        <f t="shared" si="2"/>
        <v/>
      </c>
      <c r="I93" s="71"/>
      <c r="J93" s="63">
        <f t="shared" si="3"/>
        <v>-1</v>
      </c>
    </row>
    <row r="94" spans="1:10" x14ac:dyDescent="0.2">
      <c r="A94" s="11">
        <f t="shared" si="4"/>
        <v>57</v>
      </c>
      <c r="B94" s="60"/>
      <c r="C94" s="60"/>
      <c r="D94" s="67" t="str">
        <f t="shared" si="6"/>
        <v/>
      </c>
      <c r="E94" s="60"/>
      <c r="F94" s="63" t="str">
        <f t="shared" si="0"/>
        <v/>
      </c>
      <c r="G94" s="68" t="str">
        <f t="shared" si="1"/>
        <v/>
      </c>
      <c r="H94" s="69" t="str">
        <f t="shared" si="2"/>
        <v/>
      </c>
      <c r="I94" s="71"/>
      <c r="J94" s="63">
        <f t="shared" si="3"/>
        <v>-1</v>
      </c>
    </row>
    <row r="95" spans="1:10" x14ac:dyDescent="0.2">
      <c r="A95" s="11">
        <f t="shared" si="4"/>
        <v>58</v>
      </c>
      <c r="B95" s="60"/>
      <c r="C95" s="60"/>
      <c r="D95" s="67" t="str">
        <f t="shared" si="6"/>
        <v/>
      </c>
      <c r="E95" s="60"/>
      <c r="F95" s="63" t="str">
        <f t="shared" si="0"/>
        <v/>
      </c>
      <c r="G95" s="68" t="str">
        <f t="shared" si="1"/>
        <v/>
      </c>
      <c r="H95" s="69" t="str">
        <f t="shared" si="2"/>
        <v/>
      </c>
      <c r="I95" s="71"/>
      <c r="J95" s="63">
        <f t="shared" si="3"/>
        <v>-1</v>
      </c>
    </row>
    <row r="96" spans="1:10" x14ac:dyDescent="0.2">
      <c r="A96" s="11">
        <f t="shared" si="4"/>
        <v>59</v>
      </c>
      <c r="B96" s="60"/>
      <c r="C96" s="60"/>
      <c r="D96" s="67" t="str">
        <f t="shared" si="6"/>
        <v/>
      </c>
      <c r="E96" s="60"/>
      <c r="F96" s="63" t="str">
        <f t="shared" si="0"/>
        <v/>
      </c>
      <c r="G96" s="68" t="str">
        <f t="shared" si="1"/>
        <v/>
      </c>
      <c r="H96" s="69" t="str">
        <f t="shared" si="2"/>
        <v/>
      </c>
      <c r="I96" s="71"/>
      <c r="J96" s="63">
        <f t="shared" si="3"/>
        <v>-1</v>
      </c>
    </row>
    <row r="97" spans="1:10" x14ac:dyDescent="0.2">
      <c r="A97" s="11">
        <f t="shared" si="4"/>
        <v>60</v>
      </c>
      <c r="B97" s="60"/>
      <c r="C97" s="60"/>
      <c r="D97" s="67" t="str">
        <f t="shared" si="6"/>
        <v/>
      </c>
      <c r="E97" s="60"/>
      <c r="F97" s="63" t="str">
        <f t="shared" si="0"/>
        <v/>
      </c>
      <c r="G97" s="68" t="str">
        <f t="shared" si="1"/>
        <v/>
      </c>
      <c r="H97" s="69" t="str">
        <f t="shared" si="2"/>
        <v/>
      </c>
      <c r="I97" s="71"/>
      <c r="J97" s="63">
        <f t="shared" si="3"/>
        <v>-1</v>
      </c>
    </row>
    <row r="98" spans="1:10" x14ac:dyDescent="0.2">
      <c r="A98" s="11">
        <f t="shared" si="4"/>
        <v>61</v>
      </c>
      <c r="B98" s="60"/>
      <c r="C98" s="60"/>
      <c r="D98" s="67" t="str">
        <f t="shared" si="6"/>
        <v/>
      </c>
      <c r="E98" s="60"/>
      <c r="F98" s="63" t="str">
        <f t="shared" si="0"/>
        <v/>
      </c>
      <c r="G98" s="68" t="str">
        <f t="shared" si="1"/>
        <v/>
      </c>
      <c r="H98" s="69" t="str">
        <f t="shared" si="2"/>
        <v/>
      </c>
      <c r="I98" s="71"/>
      <c r="J98" s="63">
        <f t="shared" si="3"/>
        <v>-1</v>
      </c>
    </row>
    <row r="99" spans="1:10" x14ac:dyDescent="0.2">
      <c r="A99" s="11">
        <f t="shared" si="4"/>
        <v>62</v>
      </c>
      <c r="B99" s="60"/>
      <c r="C99" s="60"/>
      <c r="D99" s="67" t="str">
        <f t="shared" si="6"/>
        <v/>
      </c>
      <c r="E99" s="60"/>
      <c r="F99" s="63" t="str">
        <f t="shared" si="0"/>
        <v/>
      </c>
      <c r="G99" s="68" t="str">
        <f t="shared" si="1"/>
        <v/>
      </c>
      <c r="H99" s="69" t="str">
        <f t="shared" si="2"/>
        <v/>
      </c>
      <c r="I99" s="71"/>
      <c r="J99" s="63">
        <f t="shared" si="3"/>
        <v>-1</v>
      </c>
    </row>
    <row r="100" spans="1:10" x14ac:dyDescent="0.2">
      <c r="A100" s="11">
        <f t="shared" si="4"/>
        <v>63</v>
      </c>
      <c r="B100" s="60"/>
      <c r="C100" s="60"/>
      <c r="D100" s="67" t="str">
        <f t="shared" si="6"/>
        <v/>
      </c>
      <c r="E100" s="60"/>
      <c r="F100" s="63" t="str">
        <f t="shared" si="0"/>
        <v/>
      </c>
      <c r="G100" s="68" t="str">
        <f t="shared" si="1"/>
        <v/>
      </c>
      <c r="H100" s="69" t="str">
        <f t="shared" si="2"/>
        <v/>
      </c>
      <c r="I100" s="71"/>
      <c r="J100" s="63">
        <f t="shared" si="3"/>
        <v>-1</v>
      </c>
    </row>
    <row r="101" spans="1:10" x14ac:dyDescent="0.2">
      <c r="A101" s="11">
        <f t="shared" si="4"/>
        <v>64</v>
      </c>
      <c r="B101" s="60"/>
      <c r="C101" s="60"/>
      <c r="D101" s="67" t="str">
        <f t="shared" si="6"/>
        <v/>
      </c>
      <c r="E101" s="60"/>
      <c r="F101" s="63" t="str">
        <f t="shared" si="0"/>
        <v/>
      </c>
      <c r="G101" s="68" t="str">
        <f t="shared" si="1"/>
        <v/>
      </c>
      <c r="H101" s="69" t="str">
        <f t="shared" si="2"/>
        <v/>
      </c>
      <c r="I101" s="71"/>
      <c r="J101" s="63">
        <f t="shared" si="3"/>
        <v>-1</v>
      </c>
    </row>
    <row r="102" spans="1:10" x14ac:dyDescent="0.2">
      <c r="A102" s="11">
        <f t="shared" si="4"/>
        <v>65</v>
      </c>
      <c r="B102" s="60"/>
      <c r="C102" s="60"/>
      <c r="D102" s="67" t="str">
        <f t="shared" si="6"/>
        <v/>
      </c>
      <c r="E102" s="60"/>
      <c r="F102" s="63" t="str">
        <f t="shared" si="0"/>
        <v/>
      </c>
      <c r="G102" s="68" t="str">
        <f t="shared" si="1"/>
        <v/>
      </c>
      <c r="H102" s="69" t="str">
        <f t="shared" si="2"/>
        <v/>
      </c>
      <c r="I102" s="71"/>
      <c r="J102" s="63">
        <f t="shared" si="3"/>
        <v>-1</v>
      </c>
    </row>
    <row r="103" spans="1:10" x14ac:dyDescent="0.2">
      <c r="A103" s="11">
        <f t="shared" si="4"/>
        <v>66</v>
      </c>
      <c r="B103" s="60"/>
      <c r="C103" s="60"/>
      <c r="D103" s="67" t="str">
        <f t="shared" si="6"/>
        <v/>
      </c>
      <c r="E103" s="60"/>
      <c r="F103" s="63" t="str">
        <f t="shared" ref="F103:F127" si="7">IF(D103="d",2, IF(D103="c",4, IF(D103="b",4, IF(D103="a",4,""))))</f>
        <v/>
      </c>
      <c r="G103" s="68" t="str">
        <f t="shared" ref="G103:G127" si="8">IF(B103="","", (+F103+J103))</f>
        <v/>
      </c>
      <c r="H103" s="69" t="str">
        <f t="shared" ref="H103:H127" si="9">IF(E103&gt;0,+$G$8, "")</f>
        <v/>
      </c>
      <c r="I103" s="71"/>
      <c r="J103" s="63">
        <f t="shared" ref="J103:J127" si="10">IF(E103=$D$6,-1,0)</f>
        <v>-1</v>
      </c>
    </row>
    <row r="104" spans="1:10" x14ac:dyDescent="0.2">
      <c r="A104" s="11">
        <f t="shared" ref="A104:A127" si="11">+A103+1</f>
        <v>67</v>
      </c>
      <c r="B104" s="60"/>
      <c r="C104" s="60"/>
      <c r="D104" s="67" t="str">
        <f t="shared" si="6"/>
        <v/>
      </c>
      <c r="E104" s="60"/>
      <c r="F104" s="63" t="str">
        <f t="shared" si="7"/>
        <v/>
      </c>
      <c r="G104" s="68" t="str">
        <f t="shared" si="8"/>
        <v/>
      </c>
      <c r="H104" s="69" t="str">
        <f t="shared" si="9"/>
        <v/>
      </c>
      <c r="I104" s="71"/>
      <c r="J104" s="63">
        <f t="shared" si="10"/>
        <v>-1</v>
      </c>
    </row>
    <row r="105" spans="1:10" x14ac:dyDescent="0.2">
      <c r="A105" s="11">
        <f t="shared" si="11"/>
        <v>68</v>
      </c>
      <c r="B105" s="60"/>
      <c r="C105" s="60"/>
      <c r="D105" s="67" t="str">
        <f t="shared" si="6"/>
        <v/>
      </c>
      <c r="E105" s="60"/>
      <c r="F105" s="63" t="str">
        <f t="shared" si="7"/>
        <v/>
      </c>
      <c r="G105" s="68" t="str">
        <f t="shared" si="8"/>
        <v/>
      </c>
      <c r="H105" s="69" t="str">
        <f t="shared" si="9"/>
        <v/>
      </c>
      <c r="I105" s="71"/>
      <c r="J105" s="63">
        <f t="shared" si="10"/>
        <v>-1</v>
      </c>
    </row>
    <row r="106" spans="1:10" x14ac:dyDescent="0.2">
      <c r="A106" s="11">
        <f t="shared" si="11"/>
        <v>69</v>
      </c>
      <c r="B106" s="60"/>
      <c r="C106" s="60"/>
      <c r="D106" s="67" t="str">
        <f t="shared" si="6"/>
        <v/>
      </c>
      <c r="E106" s="60"/>
      <c r="F106" s="63" t="str">
        <f t="shared" si="7"/>
        <v/>
      </c>
      <c r="G106" s="68" t="str">
        <f t="shared" si="8"/>
        <v/>
      </c>
      <c r="H106" s="69" t="str">
        <f t="shared" si="9"/>
        <v/>
      </c>
      <c r="I106" s="71"/>
      <c r="J106" s="63">
        <f t="shared" si="10"/>
        <v>-1</v>
      </c>
    </row>
    <row r="107" spans="1:10" x14ac:dyDescent="0.2">
      <c r="A107" s="11">
        <f t="shared" si="11"/>
        <v>70</v>
      </c>
      <c r="B107" s="60"/>
      <c r="C107" s="60"/>
      <c r="D107" s="67" t="str">
        <f t="shared" si="6"/>
        <v/>
      </c>
      <c r="E107" s="60"/>
      <c r="F107" s="63" t="str">
        <f t="shared" si="7"/>
        <v/>
      </c>
      <c r="G107" s="68" t="str">
        <f t="shared" si="8"/>
        <v/>
      </c>
      <c r="H107" s="69" t="str">
        <f t="shared" si="9"/>
        <v/>
      </c>
      <c r="I107" s="71"/>
      <c r="J107" s="63">
        <f t="shared" si="10"/>
        <v>-1</v>
      </c>
    </row>
    <row r="108" spans="1:10" x14ac:dyDescent="0.2">
      <c r="A108" s="11">
        <f t="shared" si="11"/>
        <v>71</v>
      </c>
      <c r="B108" s="60"/>
      <c r="C108" s="60"/>
      <c r="D108" s="67" t="str">
        <f t="shared" si="6"/>
        <v/>
      </c>
      <c r="E108" s="60"/>
      <c r="F108" s="63" t="str">
        <f t="shared" si="7"/>
        <v/>
      </c>
      <c r="G108" s="68" t="str">
        <f t="shared" si="8"/>
        <v/>
      </c>
      <c r="H108" s="69" t="str">
        <f t="shared" si="9"/>
        <v/>
      </c>
      <c r="I108" s="71"/>
      <c r="J108" s="63">
        <f t="shared" si="10"/>
        <v>-1</v>
      </c>
    </row>
    <row r="109" spans="1:10" x14ac:dyDescent="0.2">
      <c r="A109" s="11">
        <f t="shared" si="11"/>
        <v>72</v>
      </c>
      <c r="B109" s="60"/>
      <c r="C109" s="60"/>
      <c r="D109" s="67" t="str">
        <f t="shared" si="6"/>
        <v/>
      </c>
      <c r="E109" s="60"/>
      <c r="F109" s="63" t="str">
        <f t="shared" si="7"/>
        <v/>
      </c>
      <c r="G109" s="68" t="str">
        <f t="shared" si="8"/>
        <v/>
      </c>
      <c r="H109" s="69" t="str">
        <f t="shared" si="9"/>
        <v/>
      </c>
      <c r="I109" s="71"/>
      <c r="J109" s="63">
        <f t="shared" si="10"/>
        <v>-1</v>
      </c>
    </row>
    <row r="110" spans="1:10" x14ac:dyDescent="0.2">
      <c r="A110" s="11">
        <f t="shared" si="11"/>
        <v>73</v>
      </c>
      <c r="B110" s="60"/>
      <c r="C110" s="60"/>
      <c r="D110" s="67" t="str">
        <f t="shared" si="6"/>
        <v/>
      </c>
      <c r="E110" s="60"/>
      <c r="F110" s="63" t="str">
        <f t="shared" si="7"/>
        <v/>
      </c>
      <c r="G110" s="68" t="str">
        <f t="shared" si="8"/>
        <v/>
      </c>
      <c r="H110" s="69" t="str">
        <f t="shared" si="9"/>
        <v/>
      </c>
      <c r="I110" s="71"/>
      <c r="J110" s="63">
        <f t="shared" si="10"/>
        <v>-1</v>
      </c>
    </row>
    <row r="111" spans="1:10" x14ac:dyDescent="0.2">
      <c r="A111" s="11">
        <f t="shared" si="11"/>
        <v>74</v>
      </c>
      <c r="B111" s="60"/>
      <c r="C111" s="60"/>
      <c r="D111" s="67" t="str">
        <f t="shared" si="6"/>
        <v/>
      </c>
      <c r="E111" s="60"/>
      <c r="F111" s="63" t="str">
        <f t="shared" si="7"/>
        <v/>
      </c>
      <c r="G111" s="68" t="str">
        <f t="shared" si="8"/>
        <v/>
      </c>
      <c r="H111" s="69" t="str">
        <f t="shared" si="9"/>
        <v/>
      </c>
      <c r="I111" s="71"/>
      <c r="J111" s="63">
        <f t="shared" si="10"/>
        <v>-1</v>
      </c>
    </row>
    <row r="112" spans="1:10" x14ac:dyDescent="0.2">
      <c r="A112" s="11">
        <f t="shared" si="11"/>
        <v>75</v>
      </c>
      <c r="B112" s="60"/>
      <c r="C112" s="60"/>
      <c r="D112" s="67" t="str">
        <f t="shared" si="6"/>
        <v/>
      </c>
      <c r="E112" s="60"/>
      <c r="F112" s="63" t="str">
        <f t="shared" si="7"/>
        <v/>
      </c>
      <c r="G112" s="68" t="str">
        <f t="shared" si="8"/>
        <v/>
      </c>
      <c r="H112" s="69" t="str">
        <f t="shared" si="9"/>
        <v/>
      </c>
      <c r="I112" s="71"/>
      <c r="J112" s="63">
        <f t="shared" si="10"/>
        <v>-1</v>
      </c>
    </row>
    <row r="113" spans="1:10" x14ac:dyDescent="0.2">
      <c r="A113" s="11">
        <f t="shared" si="11"/>
        <v>76</v>
      </c>
      <c r="B113" s="60"/>
      <c r="C113" s="60"/>
      <c r="D113" s="67" t="str">
        <f t="shared" si="6"/>
        <v/>
      </c>
      <c r="E113" s="60"/>
      <c r="F113" s="63" t="str">
        <f t="shared" si="7"/>
        <v/>
      </c>
      <c r="G113" s="68" t="str">
        <f t="shared" si="8"/>
        <v/>
      </c>
      <c r="H113" s="69" t="str">
        <f t="shared" si="9"/>
        <v/>
      </c>
      <c r="I113" s="71"/>
      <c r="J113" s="63">
        <f t="shared" si="10"/>
        <v>-1</v>
      </c>
    </row>
    <row r="114" spans="1:10" x14ac:dyDescent="0.2">
      <c r="A114" s="11">
        <f t="shared" si="11"/>
        <v>77</v>
      </c>
      <c r="B114" s="60"/>
      <c r="C114" s="60"/>
      <c r="D114" s="67" t="str">
        <f t="shared" ref="D114:D146" si="12">IF(C114="","",IF(C114&gt;800,"d",IF(C114&gt;600,"c",IF(C114&gt;400,"b",IF(C114&gt;200,"a","d")))))</f>
        <v/>
      </c>
      <c r="E114" s="60"/>
      <c r="F114" s="63" t="str">
        <f t="shared" si="7"/>
        <v/>
      </c>
      <c r="G114" s="68" t="str">
        <f t="shared" si="8"/>
        <v/>
      </c>
      <c r="H114" s="69" t="str">
        <f t="shared" si="9"/>
        <v/>
      </c>
      <c r="I114" s="71"/>
      <c r="J114" s="63">
        <f t="shared" si="10"/>
        <v>-1</v>
      </c>
    </row>
    <row r="115" spans="1:10" x14ac:dyDescent="0.2">
      <c r="A115" s="11">
        <f t="shared" si="11"/>
        <v>78</v>
      </c>
      <c r="B115" s="60"/>
      <c r="C115" s="60"/>
      <c r="D115" s="67" t="str">
        <f t="shared" si="12"/>
        <v/>
      </c>
      <c r="E115" s="60"/>
      <c r="F115" s="63" t="str">
        <f t="shared" si="7"/>
        <v/>
      </c>
      <c r="G115" s="68" t="str">
        <f t="shared" si="8"/>
        <v/>
      </c>
      <c r="H115" s="69" t="str">
        <f t="shared" si="9"/>
        <v/>
      </c>
      <c r="I115" s="71"/>
      <c r="J115" s="63">
        <f t="shared" si="10"/>
        <v>-1</v>
      </c>
    </row>
    <row r="116" spans="1:10" x14ac:dyDescent="0.2">
      <c r="A116" s="11">
        <f t="shared" si="11"/>
        <v>79</v>
      </c>
      <c r="B116" s="60"/>
      <c r="C116" s="60"/>
      <c r="D116" s="67" t="str">
        <f t="shared" si="12"/>
        <v/>
      </c>
      <c r="E116" s="60"/>
      <c r="F116" s="63" t="str">
        <f t="shared" si="7"/>
        <v/>
      </c>
      <c r="G116" s="68" t="str">
        <f t="shared" si="8"/>
        <v/>
      </c>
      <c r="H116" s="69" t="str">
        <f t="shared" si="9"/>
        <v/>
      </c>
      <c r="I116" s="71"/>
      <c r="J116" s="63">
        <f t="shared" si="10"/>
        <v>-1</v>
      </c>
    </row>
    <row r="117" spans="1:10" x14ac:dyDescent="0.2">
      <c r="A117" s="11">
        <f t="shared" si="11"/>
        <v>80</v>
      </c>
      <c r="B117" s="60"/>
      <c r="C117" s="60"/>
      <c r="D117" s="67" t="str">
        <f t="shared" si="12"/>
        <v/>
      </c>
      <c r="E117" s="60"/>
      <c r="F117" s="63" t="str">
        <f t="shared" si="7"/>
        <v/>
      </c>
      <c r="G117" s="68" t="str">
        <f t="shared" si="8"/>
        <v/>
      </c>
      <c r="H117" s="69" t="str">
        <f t="shared" si="9"/>
        <v/>
      </c>
      <c r="I117" s="71"/>
      <c r="J117" s="63">
        <f t="shared" si="10"/>
        <v>-1</v>
      </c>
    </row>
    <row r="118" spans="1:10" x14ac:dyDescent="0.2">
      <c r="A118" s="11">
        <f t="shared" si="11"/>
        <v>81</v>
      </c>
      <c r="B118" s="60"/>
      <c r="C118" s="60"/>
      <c r="D118" s="67" t="str">
        <f t="shared" si="12"/>
        <v/>
      </c>
      <c r="E118" s="60"/>
      <c r="F118" s="63" t="str">
        <f t="shared" si="7"/>
        <v/>
      </c>
      <c r="G118" s="68" t="str">
        <f t="shared" si="8"/>
        <v/>
      </c>
      <c r="H118" s="69" t="str">
        <f t="shared" si="9"/>
        <v/>
      </c>
      <c r="I118" s="71"/>
      <c r="J118" s="63">
        <f t="shared" si="10"/>
        <v>-1</v>
      </c>
    </row>
    <row r="119" spans="1:10" x14ac:dyDescent="0.2">
      <c r="A119" s="11">
        <f t="shared" si="11"/>
        <v>82</v>
      </c>
      <c r="B119" s="60"/>
      <c r="C119" s="60"/>
      <c r="D119" s="67" t="str">
        <f t="shared" si="12"/>
        <v/>
      </c>
      <c r="E119" s="60"/>
      <c r="F119" s="63" t="str">
        <f t="shared" si="7"/>
        <v/>
      </c>
      <c r="G119" s="68" t="str">
        <f t="shared" si="8"/>
        <v/>
      </c>
      <c r="H119" s="69" t="str">
        <f t="shared" si="9"/>
        <v/>
      </c>
      <c r="I119" s="71"/>
      <c r="J119" s="63">
        <f t="shared" si="10"/>
        <v>-1</v>
      </c>
    </row>
    <row r="120" spans="1:10" x14ac:dyDescent="0.2">
      <c r="A120" s="11">
        <f t="shared" si="11"/>
        <v>83</v>
      </c>
      <c r="B120" s="60"/>
      <c r="C120" s="60"/>
      <c r="D120" s="67" t="str">
        <f t="shared" si="12"/>
        <v/>
      </c>
      <c r="E120" s="60"/>
      <c r="F120" s="63" t="str">
        <f t="shared" si="7"/>
        <v/>
      </c>
      <c r="G120" s="68" t="str">
        <f t="shared" si="8"/>
        <v/>
      </c>
      <c r="H120" s="69" t="str">
        <f t="shared" si="9"/>
        <v/>
      </c>
      <c r="I120" s="71"/>
      <c r="J120" s="63">
        <f t="shared" si="10"/>
        <v>-1</v>
      </c>
    </row>
    <row r="121" spans="1:10" x14ac:dyDescent="0.2">
      <c r="A121" s="11">
        <f t="shared" si="11"/>
        <v>84</v>
      </c>
      <c r="B121" s="60"/>
      <c r="C121" s="60"/>
      <c r="D121" s="67" t="str">
        <f t="shared" si="12"/>
        <v/>
      </c>
      <c r="E121" s="60"/>
      <c r="F121" s="63" t="str">
        <f t="shared" si="7"/>
        <v/>
      </c>
      <c r="G121" s="68" t="str">
        <f t="shared" si="8"/>
        <v/>
      </c>
      <c r="H121" s="69" t="str">
        <f t="shared" si="9"/>
        <v/>
      </c>
      <c r="I121" s="71"/>
      <c r="J121" s="63">
        <f t="shared" si="10"/>
        <v>-1</v>
      </c>
    </row>
    <row r="122" spans="1:10" x14ac:dyDescent="0.2">
      <c r="A122" s="11">
        <f t="shared" si="11"/>
        <v>85</v>
      </c>
      <c r="B122" s="60"/>
      <c r="C122" s="60"/>
      <c r="D122" s="67" t="str">
        <f t="shared" si="12"/>
        <v/>
      </c>
      <c r="E122" s="60"/>
      <c r="F122" s="63" t="str">
        <f t="shared" si="7"/>
        <v/>
      </c>
      <c r="G122" s="68" t="str">
        <f t="shared" si="8"/>
        <v/>
      </c>
      <c r="H122" s="69" t="str">
        <f t="shared" si="9"/>
        <v/>
      </c>
      <c r="I122" s="71"/>
      <c r="J122" s="63">
        <f t="shared" si="10"/>
        <v>-1</v>
      </c>
    </row>
    <row r="123" spans="1:10" x14ac:dyDescent="0.2">
      <c r="A123" s="11">
        <f t="shared" si="11"/>
        <v>86</v>
      </c>
      <c r="B123" s="60"/>
      <c r="C123" s="60"/>
      <c r="D123" s="67" t="str">
        <f t="shared" si="12"/>
        <v/>
      </c>
      <c r="E123" s="60"/>
      <c r="F123" s="63" t="str">
        <f t="shared" si="7"/>
        <v/>
      </c>
      <c r="G123" s="68" t="str">
        <f t="shared" si="8"/>
        <v/>
      </c>
      <c r="H123" s="69" t="str">
        <f t="shared" si="9"/>
        <v/>
      </c>
      <c r="I123" s="71"/>
      <c r="J123" s="63">
        <f t="shared" si="10"/>
        <v>-1</v>
      </c>
    </row>
    <row r="124" spans="1:10" x14ac:dyDescent="0.2">
      <c r="A124" s="11">
        <f t="shared" si="11"/>
        <v>87</v>
      </c>
      <c r="B124" s="60"/>
      <c r="C124" s="60"/>
      <c r="D124" s="67" t="str">
        <f t="shared" si="12"/>
        <v/>
      </c>
      <c r="E124" s="60"/>
      <c r="F124" s="63" t="str">
        <f t="shared" si="7"/>
        <v/>
      </c>
      <c r="G124" s="68" t="str">
        <f t="shared" si="8"/>
        <v/>
      </c>
      <c r="H124" s="69" t="str">
        <f t="shared" si="9"/>
        <v/>
      </c>
      <c r="I124" s="71"/>
      <c r="J124" s="63">
        <f t="shared" si="10"/>
        <v>-1</v>
      </c>
    </row>
    <row r="125" spans="1:10" x14ac:dyDescent="0.2">
      <c r="A125" s="11">
        <f t="shared" si="11"/>
        <v>88</v>
      </c>
      <c r="B125" s="60"/>
      <c r="C125" s="60"/>
      <c r="D125" s="67" t="str">
        <f t="shared" si="12"/>
        <v/>
      </c>
      <c r="E125" s="60"/>
      <c r="F125" s="63" t="str">
        <f t="shared" si="7"/>
        <v/>
      </c>
      <c r="G125" s="68" t="str">
        <f t="shared" si="8"/>
        <v/>
      </c>
      <c r="H125" s="69" t="str">
        <f t="shared" si="9"/>
        <v/>
      </c>
      <c r="I125" s="71"/>
      <c r="J125" s="63">
        <f t="shared" si="10"/>
        <v>-1</v>
      </c>
    </row>
    <row r="126" spans="1:10" x14ac:dyDescent="0.2">
      <c r="A126" s="11">
        <f t="shared" si="11"/>
        <v>89</v>
      </c>
      <c r="B126" s="60"/>
      <c r="C126" s="60"/>
      <c r="D126" s="67" t="str">
        <f t="shared" si="12"/>
        <v/>
      </c>
      <c r="E126" s="60"/>
      <c r="F126" s="63" t="str">
        <f t="shared" si="7"/>
        <v/>
      </c>
      <c r="G126" s="68" t="str">
        <f t="shared" si="8"/>
        <v/>
      </c>
      <c r="H126" s="69" t="str">
        <f t="shared" si="9"/>
        <v/>
      </c>
      <c r="I126" s="71"/>
      <c r="J126" s="63">
        <f t="shared" si="10"/>
        <v>-1</v>
      </c>
    </row>
    <row r="127" spans="1:10" x14ac:dyDescent="0.2">
      <c r="A127" s="11">
        <f t="shared" si="11"/>
        <v>90</v>
      </c>
      <c r="B127" s="60"/>
      <c r="C127" s="60"/>
      <c r="D127" s="67" t="str">
        <f t="shared" si="12"/>
        <v/>
      </c>
      <c r="E127" s="60"/>
      <c r="F127" s="63" t="str">
        <f t="shared" si="7"/>
        <v/>
      </c>
      <c r="G127" s="68" t="str">
        <f t="shared" si="8"/>
        <v/>
      </c>
      <c r="H127" s="69" t="str">
        <f t="shared" si="9"/>
        <v/>
      </c>
      <c r="I127" s="71"/>
      <c r="J127" s="63">
        <f t="shared" si="10"/>
        <v>-1</v>
      </c>
    </row>
    <row r="128" spans="1:10" x14ac:dyDescent="0.2">
      <c r="A128" s="11">
        <f t="shared" ref="A128:A146" si="13">+A127+1</f>
        <v>91</v>
      </c>
      <c r="B128" s="60"/>
      <c r="C128" s="60"/>
      <c r="D128" s="67" t="str">
        <f t="shared" si="12"/>
        <v/>
      </c>
      <c r="E128" s="60"/>
      <c r="F128" s="63" t="str">
        <f t="shared" ref="F128:F146" si="14">IF(D128="d",2, IF(D128="c",4, IF(D128="b",4, IF(D128="a",4,""))))</f>
        <v/>
      </c>
      <c r="G128" s="68" t="str">
        <f t="shared" ref="G128:G146" si="15">IF(B128="","", (+F128+J128))</f>
        <v/>
      </c>
      <c r="H128" s="69" t="str">
        <f t="shared" ref="H128:H146" si="16">IF(E128&gt;0,+$G$8, "")</f>
        <v/>
      </c>
      <c r="I128" s="71"/>
      <c r="J128" s="63">
        <f t="shared" ref="J128:J146" si="17">IF(E128=$D$6,-1,0)</f>
        <v>-1</v>
      </c>
    </row>
    <row r="129" spans="1:10" x14ac:dyDescent="0.2">
      <c r="A129" s="11">
        <f t="shared" si="13"/>
        <v>92</v>
      </c>
      <c r="B129" s="60"/>
      <c r="C129" s="60"/>
      <c r="D129" s="67" t="str">
        <f t="shared" si="12"/>
        <v/>
      </c>
      <c r="E129" s="60"/>
      <c r="F129" s="63" t="str">
        <f t="shared" si="14"/>
        <v/>
      </c>
      <c r="G129" s="68" t="str">
        <f t="shared" si="15"/>
        <v/>
      </c>
      <c r="H129" s="69" t="str">
        <f t="shared" si="16"/>
        <v/>
      </c>
      <c r="I129" s="71"/>
      <c r="J129" s="63">
        <f t="shared" si="17"/>
        <v>-1</v>
      </c>
    </row>
    <row r="130" spans="1:10" x14ac:dyDescent="0.2">
      <c r="A130" s="11">
        <f t="shared" si="13"/>
        <v>93</v>
      </c>
      <c r="B130" s="60"/>
      <c r="C130" s="60"/>
      <c r="D130" s="67" t="str">
        <f t="shared" si="12"/>
        <v/>
      </c>
      <c r="E130" s="60"/>
      <c r="F130" s="63" t="str">
        <f t="shared" si="14"/>
        <v/>
      </c>
      <c r="G130" s="68" t="str">
        <f t="shared" si="15"/>
        <v/>
      </c>
      <c r="H130" s="69" t="str">
        <f t="shared" si="16"/>
        <v/>
      </c>
      <c r="I130" s="71"/>
      <c r="J130" s="63">
        <f t="shared" si="17"/>
        <v>-1</v>
      </c>
    </row>
    <row r="131" spans="1:10" x14ac:dyDescent="0.2">
      <c r="A131" s="11">
        <f t="shared" si="13"/>
        <v>94</v>
      </c>
      <c r="B131" s="60"/>
      <c r="C131" s="60"/>
      <c r="D131" s="67" t="str">
        <f t="shared" si="12"/>
        <v/>
      </c>
      <c r="E131" s="60"/>
      <c r="F131" s="63" t="str">
        <f t="shared" si="14"/>
        <v/>
      </c>
      <c r="G131" s="68" t="str">
        <f t="shared" si="15"/>
        <v/>
      </c>
      <c r="H131" s="69" t="str">
        <f t="shared" si="16"/>
        <v/>
      </c>
      <c r="I131" s="71"/>
      <c r="J131" s="63">
        <f t="shared" si="17"/>
        <v>-1</v>
      </c>
    </row>
    <row r="132" spans="1:10" x14ac:dyDescent="0.2">
      <c r="A132" s="11">
        <f t="shared" si="13"/>
        <v>95</v>
      </c>
      <c r="B132" s="60"/>
      <c r="C132" s="60"/>
      <c r="D132" s="67" t="str">
        <f t="shared" si="12"/>
        <v/>
      </c>
      <c r="E132" s="60"/>
      <c r="F132" s="63" t="str">
        <f t="shared" si="14"/>
        <v/>
      </c>
      <c r="G132" s="68" t="str">
        <f t="shared" si="15"/>
        <v/>
      </c>
      <c r="H132" s="69" t="str">
        <f t="shared" si="16"/>
        <v/>
      </c>
      <c r="I132" s="71"/>
      <c r="J132" s="63">
        <f t="shared" si="17"/>
        <v>-1</v>
      </c>
    </row>
    <row r="133" spans="1:10" x14ac:dyDescent="0.2">
      <c r="A133" s="11">
        <f t="shared" si="13"/>
        <v>96</v>
      </c>
      <c r="B133" s="60"/>
      <c r="C133" s="60"/>
      <c r="D133" s="67" t="str">
        <f t="shared" si="12"/>
        <v/>
      </c>
      <c r="E133" s="60"/>
      <c r="F133" s="63" t="str">
        <f t="shared" si="14"/>
        <v/>
      </c>
      <c r="G133" s="68" t="str">
        <f t="shared" si="15"/>
        <v/>
      </c>
      <c r="H133" s="69" t="str">
        <f t="shared" si="16"/>
        <v/>
      </c>
      <c r="I133" s="71"/>
      <c r="J133" s="63">
        <f t="shared" si="17"/>
        <v>-1</v>
      </c>
    </row>
    <row r="134" spans="1:10" x14ac:dyDescent="0.2">
      <c r="A134" s="11">
        <f t="shared" si="13"/>
        <v>97</v>
      </c>
      <c r="B134" s="60"/>
      <c r="C134" s="60"/>
      <c r="D134" s="67" t="str">
        <f t="shared" si="12"/>
        <v/>
      </c>
      <c r="E134" s="60"/>
      <c r="F134" s="63" t="str">
        <f t="shared" si="14"/>
        <v/>
      </c>
      <c r="G134" s="68" t="str">
        <f t="shared" si="15"/>
        <v/>
      </c>
      <c r="H134" s="69" t="str">
        <f t="shared" si="16"/>
        <v/>
      </c>
      <c r="I134" s="71"/>
      <c r="J134" s="63">
        <f t="shared" si="17"/>
        <v>-1</v>
      </c>
    </row>
    <row r="135" spans="1:10" x14ac:dyDescent="0.2">
      <c r="A135" s="11">
        <f t="shared" si="13"/>
        <v>98</v>
      </c>
      <c r="B135" s="60"/>
      <c r="C135" s="60"/>
      <c r="D135" s="67" t="str">
        <f t="shared" si="12"/>
        <v/>
      </c>
      <c r="E135" s="60"/>
      <c r="F135" s="63" t="str">
        <f t="shared" si="14"/>
        <v/>
      </c>
      <c r="G135" s="68" t="str">
        <f t="shared" si="15"/>
        <v/>
      </c>
      <c r="H135" s="69" t="str">
        <f t="shared" si="16"/>
        <v/>
      </c>
      <c r="I135" s="71"/>
      <c r="J135" s="63">
        <f t="shared" si="17"/>
        <v>-1</v>
      </c>
    </row>
    <row r="136" spans="1:10" x14ac:dyDescent="0.2">
      <c r="A136" s="11">
        <f t="shared" si="13"/>
        <v>99</v>
      </c>
      <c r="B136" s="60"/>
      <c r="C136" s="60"/>
      <c r="D136" s="67" t="str">
        <f t="shared" si="12"/>
        <v/>
      </c>
      <c r="E136" s="60"/>
      <c r="F136" s="63" t="str">
        <f t="shared" si="14"/>
        <v/>
      </c>
      <c r="G136" s="68" t="str">
        <f t="shared" si="15"/>
        <v/>
      </c>
      <c r="H136" s="69" t="str">
        <f t="shared" si="16"/>
        <v/>
      </c>
      <c r="I136" s="71"/>
      <c r="J136" s="63">
        <f t="shared" si="17"/>
        <v>-1</v>
      </c>
    </row>
    <row r="137" spans="1:10" x14ac:dyDescent="0.2">
      <c r="A137" s="11">
        <f t="shared" si="13"/>
        <v>100</v>
      </c>
      <c r="B137" s="60"/>
      <c r="C137" s="60"/>
      <c r="D137" s="67" t="str">
        <f t="shared" si="12"/>
        <v/>
      </c>
      <c r="E137" s="60"/>
      <c r="F137" s="63" t="str">
        <f t="shared" si="14"/>
        <v/>
      </c>
      <c r="G137" s="68" t="str">
        <f t="shared" si="15"/>
        <v/>
      </c>
      <c r="H137" s="69" t="str">
        <f t="shared" si="16"/>
        <v/>
      </c>
      <c r="I137" s="71"/>
      <c r="J137" s="63">
        <f t="shared" si="17"/>
        <v>-1</v>
      </c>
    </row>
    <row r="138" spans="1:10" x14ac:dyDescent="0.2">
      <c r="A138" s="11">
        <f t="shared" si="13"/>
        <v>101</v>
      </c>
      <c r="B138" s="60"/>
      <c r="C138" s="60"/>
      <c r="D138" s="67" t="str">
        <f t="shared" si="12"/>
        <v/>
      </c>
      <c r="E138" s="60"/>
      <c r="F138" s="63" t="str">
        <f t="shared" si="14"/>
        <v/>
      </c>
      <c r="G138" s="68" t="str">
        <f t="shared" si="15"/>
        <v/>
      </c>
      <c r="H138" s="69" t="str">
        <f t="shared" si="16"/>
        <v/>
      </c>
      <c r="I138" s="71"/>
      <c r="J138" s="63">
        <f t="shared" si="17"/>
        <v>-1</v>
      </c>
    </row>
    <row r="139" spans="1:10" x14ac:dyDescent="0.2">
      <c r="A139" s="11">
        <f t="shared" si="13"/>
        <v>102</v>
      </c>
      <c r="B139" s="60"/>
      <c r="C139" s="60"/>
      <c r="D139" s="67" t="str">
        <f t="shared" si="12"/>
        <v/>
      </c>
      <c r="E139" s="60"/>
      <c r="F139" s="63" t="str">
        <f t="shared" si="14"/>
        <v/>
      </c>
      <c r="G139" s="68" t="str">
        <f t="shared" si="15"/>
        <v/>
      </c>
      <c r="H139" s="69" t="str">
        <f t="shared" si="16"/>
        <v/>
      </c>
      <c r="I139" s="71"/>
      <c r="J139" s="63">
        <f t="shared" si="17"/>
        <v>-1</v>
      </c>
    </row>
    <row r="140" spans="1:10" x14ac:dyDescent="0.2">
      <c r="A140" s="11">
        <f t="shared" si="13"/>
        <v>103</v>
      </c>
      <c r="B140" s="60"/>
      <c r="C140" s="60"/>
      <c r="D140" s="67" t="str">
        <f t="shared" si="12"/>
        <v/>
      </c>
      <c r="E140" s="60"/>
      <c r="F140" s="63" t="str">
        <f t="shared" si="14"/>
        <v/>
      </c>
      <c r="G140" s="68" t="str">
        <f t="shared" si="15"/>
        <v/>
      </c>
      <c r="H140" s="69" t="str">
        <f t="shared" si="16"/>
        <v/>
      </c>
      <c r="I140" s="71"/>
      <c r="J140" s="63">
        <f t="shared" si="17"/>
        <v>-1</v>
      </c>
    </row>
    <row r="141" spans="1:10" x14ac:dyDescent="0.2">
      <c r="A141" s="11">
        <f t="shared" si="13"/>
        <v>104</v>
      </c>
      <c r="B141" s="60"/>
      <c r="C141" s="60"/>
      <c r="D141" s="67" t="str">
        <f t="shared" si="12"/>
        <v/>
      </c>
      <c r="E141" s="60"/>
      <c r="F141" s="63" t="str">
        <f t="shared" si="14"/>
        <v/>
      </c>
      <c r="G141" s="68" t="str">
        <f t="shared" si="15"/>
        <v/>
      </c>
      <c r="H141" s="69" t="str">
        <f t="shared" si="16"/>
        <v/>
      </c>
      <c r="I141" s="71"/>
      <c r="J141" s="63">
        <f t="shared" si="17"/>
        <v>-1</v>
      </c>
    </row>
    <row r="142" spans="1:10" x14ac:dyDescent="0.2">
      <c r="A142" s="11">
        <f t="shared" si="13"/>
        <v>105</v>
      </c>
      <c r="B142" s="60"/>
      <c r="C142" s="60"/>
      <c r="D142" s="67" t="str">
        <f t="shared" si="12"/>
        <v/>
      </c>
      <c r="E142" s="60"/>
      <c r="F142" s="63" t="str">
        <f t="shared" si="14"/>
        <v/>
      </c>
      <c r="G142" s="68" t="str">
        <f t="shared" si="15"/>
        <v/>
      </c>
      <c r="H142" s="69" t="str">
        <f t="shared" si="16"/>
        <v/>
      </c>
      <c r="I142" s="71"/>
      <c r="J142" s="63">
        <f t="shared" si="17"/>
        <v>-1</v>
      </c>
    </row>
    <row r="143" spans="1:10" x14ac:dyDescent="0.2">
      <c r="A143" s="11">
        <f t="shared" si="13"/>
        <v>106</v>
      </c>
      <c r="B143" s="60"/>
      <c r="C143" s="60"/>
      <c r="D143" s="67" t="str">
        <f t="shared" si="12"/>
        <v/>
      </c>
      <c r="E143" s="60"/>
      <c r="F143" s="63" t="str">
        <f t="shared" si="14"/>
        <v/>
      </c>
      <c r="G143" s="68" t="str">
        <f t="shared" si="15"/>
        <v/>
      </c>
      <c r="H143" s="69" t="str">
        <f t="shared" si="16"/>
        <v/>
      </c>
      <c r="I143" s="71"/>
      <c r="J143" s="63">
        <f t="shared" si="17"/>
        <v>-1</v>
      </c>
    </row>
    <row r="144" spans="1:10" x14ac:dyDescent="0.2">
      <c r="A144" s="11">
        <f t="shared" si="13"/>
        <v>107</v>
      </c>
      <c r="B144" s="60"/>
      <c r="C144" s="60"/>
      <c r="D144" s="67" t="str">
        <f t="shared" si="12"/>
        <v/>
      </c>
      <c r="E144" s="60"/>
      <c r="F144" s="63" t="str">
        <f t="shared" si="14"/>
        <v/>
      </c>
      <c r="G144" s="68" t="str">
        <f t="shared" si="15"/>
        <v/>
      </c>
      <c r="H144" s="69" t="str">
        <f t="shared" si="16"/>
        <v/>
      </c>
      <c r="I144" s="71"/>
      <c r="J144" s="63">
        <f t="shared" si="17"/>
        <v>-1</v>
      </c>
    </row>
    <row r="145" spans="1:10" x14ac:dyDescent="0.2">
      <c r="A145" s="11">
        <f t="shared" si="13"/>
        <v>108</v>
      </c>
      <c r="B145" s="60"/>
      <c r="C145" s="60"/>
      <c r="D145" s="67" t="str">
        <f t="shared" si="12"/>
        <v/>
      </c>
      <c r="E145" s="60"/>
      <c r="F145" s="63" t="str">
        <f t="shared" si="14"/>
        <v/>
      </c>
      <c r="G145" s="68" t="str">
        <f t="shared" si="15"/>
        <v/>
      </c>
      <c r="H145" s="69" t="str">
        <f t="shared" si="16"/>
        <v/>
      </c>
      <c r="I145" s="71"/>
      <c r="J145" s="63">
        <f t="shared" si="17"/>
        <v>-1</v>
      </c>
    </row>
    <row r="146" spans="1:10" ht="13.5" thickBot="1" x14ac:dyDescent="0.25">
      <c r="A146" s="11">
        <f t="shared" si="13"/>
        <v>109</v>
      </c>
      <c r="B146" s="60"/>
      <c r="C146" s="60"/>
      <c r="D146" s="67" t="str">
        <f t="shared" si="12"/>
        <v/>
      </c>
      <c r="E146" s="60"/>
      <c r="F146" s="63" t="str">
        <f t="shared" si="14"/>
        <v/>
      </c>
      <c r="G146" s="68" t="str">
        <f t="shared" si="15"/>
        <v/>
      </c>
      <c r="H146" s="69" t="str">
        <f t="shared" si="16"/>
        <v/>
      </c>
      <c r="I146" s="71"/>
      <c r="J146" s="63">
        <f t="shared" si="17"/>
        <v>-1</v>
      </c>
    </row>
    <row r="147" spans="1:10" ht="14.25" thickTop="1" thickBot="1" x14ac:dyDescent="0.25">
      <c r="A147" s="11"/>
      <c r="B147" s="10"/>
      <c r="C147" s="10"/>
      <c r="D147" s="10"/>
      <c r="E147" s="10"/>
      <c r="F147" s="15"/>
      <c r="G147" s="48">
        <f>SUM(G38:G146)</f>
        <v>0</v>
      </c>
      <c r="H147" s="37"/>
      <c r="I147" s="36"/>
      <c r="J147" s="10"/>
    </row>
    <row r="148" spans="1:10" ht="13.5" thickTop="1" x14ac:dyDescent="0.2">
      <c r="A148" s="34"/>
      <c r="B148" s="17"/>
      <c r="C148" s="17"/>
      <c r="D148" s="17"/>
      <c r="E148" s="17"/>
      <c r="F148" s="17"/>
      <c r="G148" s="21"/>
      <c r="H148" s="17"/>
      <c r="I148" s="40"/>
      <c r="J148" s="17"/>
    </row>
    <row r="149" spans="1:10" s="39" customFormat="1" x14ac:dyDescent="0.2">
      <c r="A149" s="33" t="s">
        <v>29</v>
      </c>
      <c r="B149" s="34"/>
      <c r="C149" s="17"/>
      <c r="D149" s="17"/>
      <c r="E149" s="17"/>
      <c r="F149" s="17"/>
      <c r="G149" s="17"/>
      <c r="H149" s="17"/>
      <c r="I149" s="40"/>
      <c r="J149" s="18"/>
    </row>
    <row r="150" spans="1:10" s="39" customFormat="1" x14ac:dyDescent="0.2">
      <c r="A150" s="19" t="s">
        <v>30</v>
      </c>
      <c r="B150" s="31"/>
      <c r="C150" s="21"/>
      <c r="D150" s="21"/>
      <c r="E150" s="21"/>
      <c r="F150" s="21"/>
      <c r="G150" s="21"/>
      <c r="H150" s="21"/>
      <c r="I150" s="38"/>
      <c r="J150" s="22"/>
    </row>
    <row r="151" spans="1:10" s="39" customFormat="1" x14ac:dyDescent="0.2">
      <c r="A151" s="35" t="s">
        <v>31</v>
      </c>
      <c r="B151" s="32"/>
      <c r="C151" s="26"/>
      <c r="D151" s="26"/>
      <c r="E151" s="26"/>
      <c r="F151" s="26"/>
      <c r="G151" s="26"/>
      <c r="H151" s="26"/>
      <c r="I151" s="42"/>
      <c r="J151" s="27"/>
    </row>
    <row r="152" spans="1:10" s="39" customFormat="1" x14ac:dyDescent="0.2">
      <c r="A152" s="21"/>
      <c r="B152" s="21"/>
      <c r="C152" s="21"/>
      <c r="D152" s="21"/>
      <c r="E152" s="21"/>
      <c r="F152" s="21"/>
      <c r="G152" s="21"/>
      <c r="H152" s="21"/>
      <c r="I152" s="38"/>
      <c r="J152" s="21"/>
    </row>
    <row r="153" spans="1:10" s="39" customFormat="1" x14ac:dyDescent="0.2">
      <c r="A153" s="21"/>
      <c r="B153" s="21"/>
      <c r="C153" s="21"/>
      <c r="D153" s="21"/>
      <c r="E153" s="21"/>
      <c r="F153" s="21"/>
      <c r="G153" s="21"/>
      <c r="H153" s="21"/>
      <c r="I153" s="38"/>
      <c r="J153" s="21"/>
    </row>
    <row r="154" spans="1:10" s="39" customFormat="1" ht="15" x14ac:dyDescent="0.25">
      <c r="A154" s="13" t="s">
        <v>82</v>
      </c>
      <c r="B154" s="21"/>
      <c r="C154" s="21"/>
      <c r="D154" s="21"/>
      <c r="E154" s="61"/>
      <c r="F154" s="21"/>
      <c r="G154" s="21"/>
      <c r="H154" s="21"/>
      <c r="I154" s="38"/>
      <c r="J154" s="21"/>
    </row>
    <row r="155" spans="1:10" s="39" customFormat="1" x14ac:dyDescent="0.2">
      <c r="A155" s="21"/>
      <c r="B155" s="21"/>
      <c r="C155" s="21"/>
      <c r="D155" s="21"/>
      <c r="E155" s="21"/>
      <c r="F155" s="21"/>
      <c r="G155" s="21"/>
      <c r="H155" s="21"/>
      <c r="I155" s="38"/>
      <c r="J155" s="21"/>
    </row>
    <row r="156" spans="1:10" s="39" customFormat="1" x14ac:dyDescent="0.2">
      <c r="A156" s="43"/>
      <c r="B156" s="17"/>
      <c r="C156" s="17"/>
      <c r="D156" s="17"/>
      <c r="E156" s="17"/>
      <c r="F156" s="17"/>
      <c r="G156" s="18"/>
      <c r="H156" s="21"/>
      <c r="I156" s="38"/>
      <c r="J156" s="21"/>
    </row>
    <row r="157" spans="1:10" s="39" customFormat="1" x14ac:dyDescent="0.2">
      <c r="A157" s="12" t="s">
        <v>36</v>
      </c>
      <c r="B157" s="21"/>
      <c r="C157" s="21"/>
      <c r="D157" s="21"/>
      <c r="E157" s="21"/>
      <c r="F157" s="21"/>
      <c r="G157" s="22"/>
      <c r="H157" s="21"/>
      <c r="I157" s="38"/>
      <c r="J157" s="21"/>
    </row>
    <row r="158" spans="1:10" s="39" customFormat="1" x14ac:dyDescent="0.2">
      <c r="A158" s="23" t="s">
        <v>37</v>
      </c>
      <c r="B158" s="21"/>
      <c r="C158" s="21"/>
      <c r="D158" s="21"/>
      <c r="E158" s="21"/>
      <c r="F158" s="21"/>
      <c r="G158" s="22"/>
      <c r="H158" s="21"/>
      <c r="I158" s="38"/>
      <c r="J158" s="21"/>
    </row>
    <row r="159" spans="1:10" s="39" customFormat="1" x14ac:dyDescent="0.2">
      <c r="A159" s="25"/>
      <c r="B159" s="14">
        <f>+E154</f>
        <v>0</v>
      </c>
      <c r="C159" s="44" t="s">
        <v>38</v>
      </c>
      <c r="D159" s="45">
        <f>+D5</f>
        <v>0</v>
      </c>
      <c r="E159" s="14" t="s">
        <v>38</v>
      </c>
      <c r="F159" s="14">
        <f>+G147</f>
        <v>0</v>
      </c>
      <c r="G159" s="46" t="s">
        <v>39</v>
      </c>
      <c r="H159" s="21"/>
      <c r="I159" s="70" t="s">
        <v>59</v>
      </c>
      <c r="J159" s="21"/>
    </row>
    <row r="160" spans="1:10" s="39" customFormat="1" x14ac:dyDescent="0.2">
      <c r="A160" s="21"/>
      <c r="B160" s="21"/>
      <c r="C160" s="21"/>
      <c r="D160" s="21"/>
      <c r="E160" s="21"/>
      <c r="F160" s="21"/>
      <c r="G160" s="21"/>
      <c r="H160" s="21"/>
      <c r="I160" s="38"/>
      <c r="J160" s="21"/>
    </row>
    <row r="161" spans="1:10" s="39" customFormat="1" ht="23.25" x14ac:dyDescent="0.35">
      <c r="A161" s="21"/>
      <c r="B161" s="21"/>
      <c r="C161" s="21"/>
      <c r="D161" s="21"/>
      <c r="E161" s="41" t="s">
        <v>79</v>
      </c>
      <c r="F161" s="21"/>
      <c r="G161" s="21"/>
      <c r="H161" s="21"/>
      <c r="I161" s="72">
        <f>+E154*D5*G147</f>
        <v>0</v>
      </c>
      <c r="J161" s="21"/>
    </row>
    <row r="162" spans="1:10" s="39" customFormat="1" x14ac:dyDescent="0.2">
      <c r="A162" s="21"/>
      <c r="B162" s="21"/>
      <c r="C162" s="21"/>
      <c r="D162" s="21"/>
      <c r="E162" s="21"/>
      <c r="F162" s="21"/>
      <c r="G162" s="21"/>
      <c r="H162" s="21"/>
      <c r="I162" s="38"/>
      <c r="J162" s="21"/>
    </row>
    <row r="163" spans="1:10" s="39" customFormat="1" x14ac:dyDescent="0.2">
      <c r="A163" s="76" t="s">
        <v>83</v>
      </c>
      <c r="B163" s="21"/>
      <c r="C163" s="21"/>
      <c r="D163" s="21"/>
      <c r="E163" s="21"/>
      <c r="F163" s="21"/>
      <c r="G163" s="21"/>
      <c r="H163" s="21"/>
      <c r="I163" s="38"/>
      <c r="J163" s="21"/>
    </row>
    <row r="164" spans="1:10" s="75" customFormat="1" x14ac:dyDescent="0.2">
      <c r="A164" s="76" t="s">
        <v>84</v>
      </c>
      <c r="B164" s="13"/>
      <c r="C164" s="13"/>
      <c r="D164" s="13"/>
      <c r="E164" s="13"/>
      <c r="F164" s="13"/>
      <c r="G164" s="13"/>
      <c r="H164" s="13"/>
      <c r="I164" s="74"/>
      <c r="J164" s="13"/>
    </row>
    <row r="165" spans="1:10" s="39" customFormat="1" x14ac:dyDescent="0.2">
      <c r="A165" s="21"/>
      <c r="B165" s="21"/>
      <c r="C165" s="21"/>
      <c r="D165" s="21"/>
      <c r="E165" s="21"/>
      <c r="F165" s="21"/>
      <c r="G165" s="21"/>
      <c r="H165" s="21"/>
      <c r="I165" s="38"/>
      <c r="J165" s="21"/>
    </row>
    <row r="166" spans="1:10" s="39" customFormat="1" x14ac:dyDescent="0.2">
      <c r="A166" s="13" t="s">
        <v>86</v>
      </c>
      <c r="B166" s="21"/>
      <c r="C166" s="21"/>
      <c r="D166" s="21"/>
      <c r="E166" s="21"/>
      <c r="F166" s="21"/>
      <c r="G166" s="21"/>
      <c r="H166" s="21"/>
      <c r="I166" s="38"/>
      <c r="J166" s="21"/>
    </row>
    <row r="167" spans="1:10" s="39" customFormat="1" x14ac:dyDescent="0.2">
      <c r="A167" s="21"/>
      <c r="B167" s="21"/>
      <c r="C167" s="21"/>
      <c r="D167" s="21"/>
      <c r="E167" s="21"/>
      <c r="F167" s="21"/>
      <c r="G167" s="21"/>
      <c r="H167" s="21"/>
      <c r="I167" s="38"/>
      <c r="J167" s="21"/>
    </row>
    <row r="168" spans="1:10" s="39" customFormat="1" x14ac:dyDescent="0.2">
      <c r="A168" s="21"/>
      <c r="B168" s="21"/>
      <c r="C168" s="21"/>
      <c r="D168" s="21"/>
      <c r="E168" s="21"/>
      <c r="F168" s="21"/>
      <c r="G168" s="21"/>
      <c r="H168" s="21"/>
      <c r="I168" s="38"/>
      <c r="J168" s="21"/>
    </row>
    <row r="169" spans="1:10" s="39" customFormat="1" x14ac:dyDescent="0.2">
      <c r="A169" s="13" t="s">
        <v>85</v>
      </c>
      <c r="B169" s="21"/>
      <c r="C169" s="21"/>
      <c r="D169" s="21"/>
      <c r="E169" s="21"/>
      <c r="F169" s="13" t="s">
        <v>87</v>
      </c>
      <c r="G169" s="13"/>
      <c r="H169" s="21"/>
      <c r="I169" s="38"/>
      <c r="J169" s="21"/>
    </row>
  </sheetData>
  <sheetProtection selectLockedCells="1"/>
  <customSheetViews>
    <customSheetView guid="{62E5E9A5-D73F-43D4-976F-2B141A0E2540}" showPageBreaks="1" showRuler="0">
      <selection activeCell="B3" sqref="B3"/>
      <pageMargins left="0.65" right="0.54" top="0.89" bottom="1" header="0.5" footer="0.5"/>
      <pageSetup paperSize="9" orientation="portrait" r:id="rId1"/>
      <headerFooter alignWithMargins="0">
        <oddHeader>Page &amp;P of &amp;N</oddHeader>
        <oddFooter>Prepared by Carel &amp;D&amp;RPage &amp;P</oddFooter>
      </headerFooter>
    </customSheetView>
  </customSheetViews>
  <mergeCells count="5">
    <mergeCell ref="I6:J6"/>
    <mergeCell ref="F3:H3"/>
    <mergeCell ref="F4:H4"/>
    <mergeCell ref="F5:H5"/>
    <mergeCell ref="F6:H6"/>
  </mergeCells>
  <phoneticPr fontId="3" type="noConversion"/>
  <pageMargins left="0.65" right="0.54" top="0.89" bottom="1" header="0.5" footer="0.5"/>
  <pageSetup paperSize="9" orientation="portrait" r:id="rId2"/>
  <headerFooter alignWithMargins="0">
    <oddHeader>Page &amp;P of &amp;N</oddHeader>
    <oddFooter>&amp;CSpreadsheet designed by Carel Oberholzer (ZS3OBE) &amp;D&amp;RPage &amp;P</oddFooter>
  </headerFooter>
  <cellWatches>
    <cellWatch r="D3"/>
  </cellWatch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customSheetViews>
    <customSheetView guid="{62E5E9A5-D73F-43D4-976F-2B141A0E2540}" showRuler="0">
      <pageMargins left="0.75" right="0.75" top="1" bottom="1" header="0.5" footer="0.5"/>
      <headerFooter alignWithMargins="0"/>
    </customSheetView>
  </customSheetViews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customSheetViews>
    <customSheetView guid="{62E5E9A5-D73F-43D4-976F-2B141A0E2540}" showRuler="0">
      <pageMargins left="0.75" right="0.75" top="1" bottom="1" header="0.5" footer="0.5"/>
      <headerFooter alignWithMargins="0"/>
    </customSheetView>
  </customSheetViews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HAMNET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SARL Hamnet 40 m Scoring Sheet</dc:title>
  <dc:creator>Carel, ZS3OBE</dc:creator>
  <cp:lastModifiedBy>Dennis ZS4BS</cp:lastModifiedBy>
  <cp:lastPrinted>2007-02-28T12:10:11Z</cp:lastPrinted>
  <dcterms:created xsi:type="dcterms:W3CDTF">2007-02-27T11:41:38Z</dcterms:created>
  <dcterms:modified xsi:type="dcterms:W3CDTF">2018-02-23T10:08:08Z</dcterms:modified>
</cp:coreProperties>
</file>